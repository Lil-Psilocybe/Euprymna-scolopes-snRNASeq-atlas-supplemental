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4" codeName="{A21196BD-C3A1-11ED-6554-D22D5F7347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hnbriseno/Desktop/Manuscripts/Ch 3 - Symbiotic Atlas Manuscropt/Supplemental/"/>
    </mc:Choice>
  </mc:AlternateContent>
  <xr:revisionPtr revIDLastSave="0" documentId="13_ncr:1_{53D2EAE1-8E7D-A34A-A5C3-11B9514AA9F6}" xr6:coauthVersionLast="47" xr6:coauthVersionMax="47" xr10:uidLastSave="{00000000-0000-0000-0000-000000000000}"/>
  <bookViews>
    <workbookView xWindow="14200" yWindow="760" windowWidth="19320" windowHeight="21580" activeTab="1" xr2:uid="{00000000-000D-0000-FFFF-FFFF00000000}"/>
  </bookViews>
  <sheets>
    <sheet name="Sample Loading Table" sheetId="1" r:id="rId1"/>
    <sheet name="Plate Configuration" sheetId="2" r:id="rId2"/>
    <sheet name="ReferenceTable" sheetId="8" state="hidden" r:id="rId3"/>
  </sheets>
  <definedNames>
    <definedName name="_xlnm._FilterDatabase" localSheetId="0" hidden="1">'Sample Loading Table'!$A$26:$A$126</definedName>
    <definedName name="_xlnm.Print_Area" localSheetId="0">'Sample Loading Table'!$A$1:$J$146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2" l="1"/>
  <c r="E9" i="2" s="1"/>
  <c r="F9" i="2" s="1"/>
  <c r="G9" i="2" s="1"/>
  <c r="H9" i="2" s="1"/>
  <c r="I9" i="2" s="1"/>
  <c r="J9" i="2" s="1"/>
  <c r="K9" i="2" s="1"/>
  <c r="L9" i="2" s="1"/>
  <c r="M9" i="2" s="1"/>
  <c r="N9" i="2" s="1"/>
  <c r="E86" i="8" l="1"/>
  <c r="E87" i="8"/>
  <c r="E88" i="8"/>
  <c r="E89" i="8"/>
  <c r="E91" i="8"/>
  <c r="E92" i="8"/>
  <c r="E93" i="8"/>
  <c r="E94" i="8"/>
  <c r="E95" i="8"/>
  <c r="E96" i="8"/>
  <c r="E71" i="8"/>
  <c r="E72" i="8"/>
  <c r="E73" i="8"/>
  <c r="E74" i="8"/>
  <c r="E75" i="8"/>
  <c r="E76" i="8"/>
  <c r="E77" i="8"/>
  <c r="E78" i="8"/>
  <c r="E79" i="8"/>
  <c r="E81" i="8"/>
  <c r="E82" i="8"/>
  <c r="E83" i="8"/>
  <c r="E84" i="8"/>
  <c r="E85" i="8"/>
  <c r="E52" i="8"/>
  <c r="E53" i="8"/>
  <c r="E54" i="8"/>
  <c r="E55" i="8"/>
  <c r="E56" i="8"/>
  <c r="E58" i="8"/>
  <c r="E59" i="8"/>
  <c r="E60" i="8"/>
  <c r="E61" i="8"/>
  <c r="E62" i="8"/>
  <c r="E63" i="8"/>
  <c r="E64" i="8"/>
  <c r="E65" i="8"/>
  <c r="E66" i="8"/>
  <c r="E67" i="8"/>
  <c r="E68" i="8"/>
  <c r="E69" i="8"/>
  <c r="H119" i="2" l="1"/>
  <c r="E119" i="2" s="1"/>
  <c r="C10" i="2"/>
  <c r="P60" i="2"/>
  <c r="P61" i="2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  <c r="P101" i="2" s="1"/>
  <c r="P102" i="2" s="1"/>
  <c r="P103" i="2" s="1"/>
  <c r="P104" i="2" s="1"/>
  <c r="P105" i="2" s="1"/>
  <c r="P106" i="2" s="1"/>
  <c r="P107" i="2" s="1"/>
  <c r="H24" i="2"/>
  <c r="C24" i="2" s="1"/>
  <c r="H26" i="2"/>
  <c r="H27" i="2"/>
  <c r="H28" i="2"/>
  <c r="E28" i="2" s="1"/>
  <c r="H29" i="2"/>
  <c r="E29" i="2" s="1"/>
  <c r="H30" i="2"/>
  <c r="E30" i="2" s="1"/>
  <c r="H31" i="2"/>
  <c r="E31" i="2" s="1"/>
  <c r="H32" i="2"/>
  <c r="E32" i="2" s="1"/>
  <c r="H33" i="2"/>
  <c r="H34" i="2"/>
  <c r="H35" i="2"/>
  <c r="H36" i="2"/>
  <c r="E36" i="2" s="1"/>
  <c r="H37" i="2"/>
  <c r="E37" i="2" s="1"/>
  <c r="H38" i="2"/>
  <c r="E38" i="2" s="1"/>
  <c r="H39" i="2"/>
  <c r="E39" i="2" s="1"/>
  <c r="H40" i="2"/>
  <c r="E40" i="2" s="1"/>
  <c r="H42" i="2"/>
  <c r="H43" i="2"/>
  <c r="H44" i="2"/>
  <c r="E44" i="2" s="1"/>
  <c r="H45" i="2"/>
  <c r="E45" i="2" s="1"/>
  <c r="H46" i="2"/>
  <c r="E46" i="2" s="1"/>
  <c r="H47" i="2"/>
  <c r="E47" i="2" s="1"/>
  <c r="H48" i="2"/>
  <c r="E48" i="2" s="1"/>
  <c r="H49" i="2"/>
  <c r="H50" i="2"/>
  <c r="H51" i="2"/>
  <c r="H52" i="2"/>
  <c r="E52" i="2" s="1"/>
  <c r="H53" i="2"/>
  <c r="E53" i="2" s="1"/>
  <c r="H54" i="2"/>
  <c r="E54" i="2" s="1"/>
  <c r="H55" i="2"/>
  <c r="E55" i="2" s="1"/>
  <c r="H56" i="2"/>
  <c r="E56" i="2" s="1"/>
  <c r="H57" i="2"/>
  <c r="H58" i="2"/>
  <c r="H59" i="2"/>
  <c r="H60" i="2"/>
  <c r="E60" i="2" s="1"/>
  <c r="H61" i="2"/>
  <c r="E61" i="2" s="1"/>
  <c r="H62" i="2"/>
  <c r="E62" i="2" s="1"/>
  <c r="H63" i="2"/>
  <c r="E63" i="2" s="1"/>
  <c r="H64" i="2"/>
  <c r="E64" i="2" s="1"/>
  <c r="H65" i="2"/>
  <c r="E65" i="2" s="1"/>
  <c r="H66" i="2"/>
  <c r="H67" i="2"/>
  <c r="H68" i="2"/>
  <c r="E68" i="2" s="1"/>
  <c r="H69" i="2"/>
  <c r="E69" i="2" s="1"/>
  <c r="H70" i="2"/>
  <c r="E70" i="2" s="1"/>
  <c r="H71" i="2"/>
  <c r="E71" i="2" s="1"/>
  <c r="H72" i="2"/>
  <c r="E72" i="2" s="1"/>
  <c r="H73" i="2"/>
  <c r="H74" i="2"/>
  <c r="H75" i="2"/>
  <c r="H76" i="2"/>
  <c r="E76" i="2" s="1"/>
  <c r="H77" i="2"/>
  <c r="E77" i="2" s="1"/>
  <c r="H78" i="2"/>
  <c r="H79" i="2"/>
  <c r="E79" i="2" s="1"/>
  <c r="H80" i="2"/>
  <c r="E80" i="2" s="1"/>
  <c r="H81" i="2"/>
  <c r="H82" i="2"/>
  <c r="H83" i="2"/>
  <c r="H84" i="2"/>
  <c r="E84" i="2" s="1"/>
  <c r="H85" i="2"/>
  <c r="E85" i="2" s="1"/>
  <c r="H86" i="2"/>
  <c r="E86" i="2" s="1"/>
  <c r="H87" i="2"/>
  <c r="E87" i="2" s="1"/>
  <c r="H88" i="2"/>
  <c r="E88" i="2" s="1"/>
  <c r="H89" i="2"/>
  <c r="E89" i="2" s="1"/>
  <c r="H90" i="2"/>
  <c r="H91" i="2"/>
  <c r="H92" i="2"/>
  <c r="E92" i="2" s="1"/>
  <c r="H93" i="2"/>
  <c r="E93" i="2" s="1"/>
  <c r="H94" i="2"/>
  <c r="H95" i="2"/>
  <c r="E95" i="2" s="1"/>
  <c r="H96" i="2"/>
  <c r="E96" i="2" s="1"/>
  <c r="H97" i="2"/>
  <c r="E97" i="2" s="1"/>
  <c r="H98" i="2"/>
  <c r="H99" i="2"/>
  <c r="H100" i="2"/>
  <c r="E100" i="2" s="1"/>
  <c r="H101" i="2"/>
  <c r="E101" i="2" s="1"/>
  <c r="H102" i="2"/>
  <c r="H103" i="2"/>
  <c r="E103" i="2" s="1"/>
  <c r="H104" i="2"/>
  <c r="E104" i="2" s="1"/>
  <c r="H105" i="2"/>
  <c r="H106" i="2"/>
  <c r="H107" i="2"/>
  <c r="H108" i="2"/>
  <c r="E108" i="2" s="1"/>
  <c r="H109" i="2"/>
  <c r="E109" i="2" s="1"/>
  <c r="H110" i="2"/>
  <c r="H111" i="2"/>
  <c r="E111" i="2" s="1"/>
  <c r="H112" i="2"/>
  <c r="E112" i="2" s="1"/>
  <c r="H113" i="2"/>
  <c r="H114" i="2"/>
  <c r="H115" i="2"/>
  <c r="H116" i="2"/>
  <c r="E116" i="2" s="1"/>
  <c r="H117" i="2"/>
  <c r="E117" i="2" s="1"/>
  <c r="H118" i="2"/>
  <c r="H25" i="2"/>
  <c r="E25" i="2" s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C49" i="8"/>
  <c r="C50" i="8"/>
  <c r="C51" i="8" s="1"/>
  <c r="C52" i="8" s="1"/>
  <c r="C53" i="8" s="1"/>
  <c r="C54" i="8" s="1"/>
  <c r="C55" i="8" s="1"/>
  <c r="C56" i="8" s="1"/>
  <c r="C57" i="8" s="1"/>
  <c r="C58" i="8" s="1"/>
  <c r="C59" i="8" s="1"/>
  <c r="C60" i="8" s="1"/>
  <c r="C61" i="8" s="1"/>
  <c r="C62" i="8" s="1"/>
  <c r="C63" i="8" s="1"/>
  <c r="C64" i="8" s="1"/>
  <c r="C65" i="8" s="1"/>
  <c r="C66" i="8" s="1"/>
  <c r="C67" i="8" s="1"/>
  <c r="C68" i="8" s="1"/>
  <c r="C69" i="8" s="1"/>
  <c r="C70" i="8" s="1"/>
  <c r="C71" i="8" s="1"/>
  <c r="C72" i="8" s="1"/>
  <c r="C73" i="8" s="1"/>
  <c r="C74" i="8" s="1"/>
  <c r="C75" i="8" s="1"/>
  <c r="C76" i="8" s="1"/>
  <c r="C77" i="8" s="1"/>
  <c r="C78" i="8" s="1"/>
  <c r="C79" i="8" s="1"/>
  <c r="C80" i="8" s="1"/>
  <c r="C81" i="8" s="1"/>
  <c r="C82" i="8" s="1"/>
  <c r="C83" i="8" s="1"/>
  <c r="C84" i="8" s="1"/>
  <c r="C85" i="8" s="1"/>
  <c r="C86" i="8" s="1"/>
  <c r="C87" i="8" s="1"/>
  <c r="C88" i="8" s="1"/>
  <c r="C89" i="8" s="1"/>
  <c r="C90" i="8" s="1"/>
  <c r="C91" i="8" s="1"/>
  <c r="C92" i="8" s="1"/>
  <c r="C93" i="8" s="1"/>
  <c r="C94" i="8" s="1"/>
  <c r="C95" i="8" s="1"/>
  <c r="C96" i="8" s="1"/>
  <c r="A1" i="8"/>
  <c r="E81" i="2" l="1"/>
  <c r="E118" i="2"/>
  <c r="E110" i="2"/>
  <c r="E102" i="2"/>
  <c r="E94" i="2"/>
  <c r="E78" i="2"/>
  <c r="E115" i="2"/>
  <c r="E107" i="2"/>
  <c r="E99" i="2"/>
  <c r="E91" i="2"/>
  <c r="E83" i="2"/>
  <c r="E75" i="2"/>
  <c r="E67" i="2"/>
  <c r="E59" i="2"/>
  <c r="E51" i="2"/>
  <c r="E43" i="2"/>
  <c r="E35" i="2"/>
  <c r="E27" i="2"/>
  <c r="E105" i="2"/>
  <c r="E114" i="2"/>
  <c r="E74" i="2"/>
  <c r="E58" i="2"/>
  <c r="E50" i="2"/>
  <c r="E42" i="2"/>
  <c r="E34" i="2"/>
  <c r="E26" i="2"/>
  <c r="E113" i="2"/>
  <c r="E106" i="2"/>
  <c r="E98" i="2"/>
  <c r="E90" i="2"/>
  <c r="E82" i="2"/>
  <c r="E66" i="2"/>
  <c r="E73" i="2"/>
  <c r="E57" i="2"/>
  <c r="E49" i="2"/>
  <c r="E33" i="2"/>
  <c r="E24" i="2"/>
  <c r="G1" i="8" l="1"/>
  <c r="C2" i="8"/>
  <c r="C3" i="8" s="1"/>
  <c r="C4" i="8" s="1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l="1"/>
  <c r="C27" i="8" l="1"/>
  <c r="C28" i="8" l="1"/>
  <c r="C29" i="8" l="1"/>
  <c r="C30" i="8" l="1"/>
  <c r="C31" i="8" l="1"/>
  <c r="C32" i="8" l="1"/>
  <c r="C33" i="8" l="1"/>
  <c r="C34" i="8" l="1"/>
  <c r="C35" i="8" l="1"/>
  <c r="C36" i="8" l="1"/>
  <c r="C37" i="8" l="1"/>
  <c r="C38" i="8" l="1"/>
  <c r="C39" i="8" l="1"/>
  <c r="C40" i="8" l="1"/>
  <c r="C41" i="8" l="1"/>
  <c r="C42" i="8" l="1"/>
  <c r="C43" i="8" l="1"/>
  <c r="C44" i="8" l="1"/>
  <c r="C45" i="8" l="1"/>
  <c r="C46" i="8" l="1"/>
  <c r="C47" i="8" l="1"/>
  <c r="C48" i="8" l="1"/>
  <c r="A28" i="1" l="1"/>
  <c r="C25" i="2" l="1"/>
  <c r="A29" i="1"/>
  <c r="C26" i="2" l="1"/>
  <c r="A30" i="1"/>
  <c r="C27" i="2" l="1"/>
  <c r="A31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Q10" i="2"/>
  <c r="P11" i="2"/>
  <c r="P12" i="2" s="1"/>
  <c r="P13" i="2" s="1"/>
  <c r="P14" i="2" s="1"/>
  <c r="P15" i="2" s="1"/>
  <c r="P16" i="2" s="1"/>
  <c r="P17" i="2" s="1"/>
  <c r="P18" i="2" s="1"/>
  <c r="P19" i="2" s="1"/>
  <c r="P20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C28" i="2" l="1"/>
  <c r="S10" i="2"/>
  <c r="A32" i="1" l="1"/>
  <c r="C29" i="2" l="1"/>
  <c r="A33" i="1"/>
  <c r="C30" i="2" l="1"/>
  <c r="A34" i="1"/>
  <c r="C31" i="2" l="1"/>
  <c r="A35" i="1"/>
  <c r="C32" i="2" s="1"/>
  <c r="A36" i="1" l="1"/>
  <c r="C33" i="2" l="1"/>
  <c r="E36" i="1"/>
  <c r="A37" i="1"/>
  <c r="C34" i="2" s="1"/>
  <c r="A38" i="1" l="1"/>
  <c r="C35" i="2" s="1"/>
  <c r="A39" i="1" l="1"/>
  <c r="C36" i="2" s="1"/>
  <c r="A40" i="1" l="1"/>
  <c r="C37" i="2" l="1"/>
  <c r="A41" i="1"/>
  <c r="C38" i="2" s="1"/>
  <c r="A42" i="1" l="1"/>
  <c r="C39" i="2" s="1"/>
  <c r="A43" i="1" l="1"/>
  <c r="C40" i="2" s="1"/>
  <c r="A44" i="1" l="1"/>
  <c r="A45" i="1" l="1"/>
  <c r="C42" i="2" s="1"/>
  <c r="H41" i="2" l="1"/>
  <c r="C125" i="1"/>
  <c r="F24" i="1" s="1"/>
  <c r="C20" i="2" s="1"/>
  <c r="F44" i="1"/>
  <c r="F125" i="1" s="1"/>
  <c r="A46" i="1"/>
  <c r="C43" i="2" s="1"/>
  <c r="F23" i="1" l="1"/>
  <c r="C19" i="2" s="1"/>
  <c r="C21" i="2" s="1"/>
  <c r="C126" i="1"/>
  <c r="E41" i="2"/>
  <c r="C41" i="2"/>
  <c r="A47" i="1"/>
  <c r="C44" i="2" s="1"/>
  <c r="A48" i="1" l="1"/>
  <c r="C45" i="2" s="1"/>
  <c r="A49" i="1" l="1"/>
  <c r="C46" i="2" s="1"/>
  <c r="A50" i="1" l="1"/>
  <c r="C47" i="2" s="1"/>
  <c r="A51" i="1" l="1"/>
  <c r="C48" i="2" s="1"/>
  <c r="A52" i="1" l="1"/>
  <c r="C49" i="2" s="1"/>
  <c r="A53" i="1" l="1"/>
  <c r="C50" i="2" l="1"/>
  <c r="E53" i="1"/>
  <c r="A54" i="1"/>
  <c r="C51" i="2" l="1"/>
  <c r="E54" i="1"/>
  <c r="A55" i="1"/>
  <c r="C52" i="2" l="1"/>
  <c r="A56" i="1"/>
  <c r="C53" i="2" s="1"/>
  <c r="A57" i="1" l="1"/>
  <c r="C54" i="2" s="1"/>
  <c r="A58" i="1" l="1"/>
  <c r="C55" i="2" s="1"/>
  <c r="A59" i="1" l="1"/>
  <c r="C56" i="2" s="1"/>
  <c r="A60" i="1" l="1"/>
  <c r="C57" i="2" s="1"/>
  <c r="A61" i="1" l="1"/>
  <c r="C58" i="2" s="1"/>
  <c r="A62" i="1" l="1"/>
  <c r="C59" i="2" s="1"/>
  <c r="A63" i="1" l="1"/>
  <c r="C60" i="2" s="1"/>
  <c r="A64" i="1" l="1"/>
  <c r="C61" i="2" s="1"/>
  <c r="A65" i="1" l="1"/>
  <c r="C62" i="2" s="1"/>
  <c r="A66" i="1" l="1"/>
  <c r="C63" i="2" s="1"/>
  <c r="A67" i="1" l="1"/>
  <c r="C64" i="2" s="1"/>
  <c r="A68" i="1" l="1"/>
  <c r="C65" i="2" s="1"/>
  <c r="A69" i="1" l="1"/>
  <c r="C66" i="2" s="1"/>
  <c r="A70" i="1" l="1"/>
  <c r="C67" i="2" s="1"/>
  <c r="A71" i="1" l="1"/>
  <c r="C68" i="2" s="1"/>
  <c r="A72" i="1" l="1"/>
  <c r="C69" i="2" s="1"/>
  <c r="A73" i="1" l="1"/>
  <c r="C70" i="2" s="1"/>
  <c r="A74" i="1" l="1"/>
  <c r="C71" i="2" s="1"/>
  <c r="A75" i="1" l="1"/>
  <c r="C72" i="2" s="1"/>
  <c r="A76" i="1" l="1"/>
  <c r="C73" i="2" s="1"/>
  <c r="A77" i="1" l="1"/>
  <c r="C74" i="2" s="1"/>
  <c r="A78" i="1" l="1"/>
  <c r="C75" i="2" s="1"/>
  <c r="A79" i="1" l="1"/>
  <c r="C76" i="2" s="1"/>
  <c r="A80" i="1" l="1"/>
  <c r="C77" i="2" s="1"/>
  <c r="A81" i="1" l="1"/>
  <c r="C78" i="2" s="1"/>
  <c r="A82" i="1" l="1"/>
  <c r="C79" i="2" s="1"/>
  <c r="A83" i="1" l="1"/>
  <c r="C80" i="2" s="1"/>
  <c r="A84" i="1" l="1"/>
  <c r="C81" i="2" s="1"/>
  <c r="A85" i="1" l="1"/>
  <c r="C82" i="2" s="1"/>
  <c r="A86" i="1" l="1"/>
  <c r="C83" i="2" s="1"/>
  <c r="A87" i="1" l="1"/>
  <c r="C84" i="2" s="1"/>
  <c r="A88" i="1" l="1"/>
  <c r="C85" i="2" s="1"/>
  <c r="A89" i="1" l="1"/>
  <c r="C86" i="2" s="1"/>
  <c r="A90" i="1" l="1"/>
  <c r="C87" i="2" s="1"/>
  <c r="A91" i="1" l="1"/>
  <c r="C88" i="2" s="1"/>
  <c r="A92" i="1" l="1"/>
  <c r="C89" i="2" s="1"/>
  <c r="A93" i="1" l="1"/>
  <c r="C90" i="2" s="1"/>
  <c r="A94" i="1" l="1"/>
  <c r="C91" i="2" s="1"/>
  <c r="A95" i="1" l="1"/>
  <c r="C92" i="2" s="1"/>
  <c r="A96" i="1" l="1"/>
  <c r="C93" i="2" s="1"/>
  <c r="A97" i="1" l="1"/>
  <c r="C94" i="2" s="1"/>
  <c r="A98" i="1" l="1"/>
  <c r="C95" i="2" s="1"/>
  <c r="A99" i="1" l="1"/>
  <c r="C96" i="2" s="1"/>
  <c r="A100" i="1" l="1"/>
  <c r="C97" i="2" s="1"/>
  <c r="A101" i="1" l="1"/>
  <c r="C98" i="2" s="1"/>
  <c r="A102" i="1" l="1"/>
  <c r="C99" i="2" s="1"/>
  <c r="A103" i="1" l="1"/>
  <c r="C100" i="2" s="1"/>
  <c r="A104" i="1" l="1"/>
  <c r="C101" i="2" s="1"/>
  <c r="A105" i="1" l="1"/>
  <c r="C102" i="2" s="1"/>
  <c r="A106" i="1" l="1"/>
  <c r="C103" i="2" s="1"/>
  <c r="A107" i="1" l="1"/>
  <c r="C104" i="2" s="1"/>
  <c r="A108" i="1" l="1"/>
  <c r="C105" i="2" s="1"/>
  <c r="A109" i="1" l="1"/>
  <c r="C106" i="2" s="1"/>
  <c r="A110" i="1" l="1"/>
  <c r="C107" i="2" s="1"/>
  <c r="A111" i="1" l="1"/>
  <c r="C108" i="2" s="1"/>
  <c r="A112" i="1" l="1"/>
  <c r="C109" i="2" s="1"/>
  <c r="A113" i="1" l="1"/>
  <c r="C110" i="2" s="1"/>
  <c r="A114" i="1" l="1"/>
  <c r="C111" i="2" s="1"/>
  <c r="A115" i="1" l="1"/>
  <c r="C112" i="2" s="1"/>
  <c r="A116" i="1" l="1"/>
  <c r="C113" i="2" s="1"/>
  <c r="A117" i="1" l="1"/>
  <c r="C114" i="2" s="1"/>
  <c r="A118" i="1" l="1"/>
  <c r="C115" i="2" s="1"/>
  <c r="A119" i="1" l="1"/>
  <c r="C116" i="2" s="1"/>
  <c r="A120" i="1" l="1"/>
  <c r="C117" i="2" s="1"/>
  <c r="A121" i="1" l="1"/>
  <c r="C118" i="2" s="1"/>
  <c r="A122" i="1" l="1"/>
  <c r="C119" i="2" s="1"/>
  <c r="H1" i="8"/>
  <c r="E69" i="1" l="1"/>
  <c r="G69" i="1" s="1"/>
  <c r="G28" i="1"/>
  <c r="G29" i="1"/>
  <c r="G30" i="1"/>
  <c r="E31" i="1"/>
  <c r="G31" i="1" s="1"/>
  <c r="E32" i="1"/>
  <c r="G32" i="1" s="1"/>
  <c r="E33" i="1"/>
  <c r="G33" i="1" s="1"/>
  <c r="E34" i="1"/>
  <c r="G34" i="1" s="1"/>
  <c r="E76" i="1"/>
  <c r="G76" i="1" s="1"/>
  <c r="E80" i="1"/>
  <c r="G80" i="1" s="1"/>
  <c r="E84" i="1"/>
  <c r="G84" i="1" s="1"/>
  <c r="E88" i="1"/>
  <c r="G88" i="1" s="1"/>
  <c r="E92" i="1"/>
  <c r="G92" i="1" s="1"/>
  <c r="E96" i="1"/>
  <c r="G96" i="1" s="1"/>
  <c r="E100" i="1"/>
  <c r="G100" i="1" s="1"/>
  <c r="E104" i="1"/>
  <c r="G104" i="1" s="1"/>
  <c r="E108" i="1"/>
  <c r="G108" i="1" s="1"/>
  <c r="E112" i="1"/>
  <c r="G112" i="1" s="1"/>
  <c r="E116" i="1"/>
  <c r="G116" i="1" s="1"/>
  <c r="E120" i="1"/>
  <c r="G120" i="1" s="1"/>
  <c r="E73" i="1"/>
  <c r="G73" i="1" s="1"/>
  <c r="G48" i="1"/>
  <c r="G50" i="1"/>
  <c r="G52" i="1"/>
  <c r="E64" i="1"/>
  <c r="G64" i="1" s="1"/>
  <c r="E66" i="1"/>
  <c r="G66" i="1" s="1"/>
  <c r="E68" i="1"/>
  <c r="G68" i="1" s="1"/>
  <c r="E70" i="1"/>
  <c r="G70" i="1" s="1"/>
  <c r="E77" i="1"/>
  <c r="G77" i="1" s="1"/>
  <c r="E81" i="1"/>
  <c r="G81" i="1" s="1"/>
  <c r="E85" i="1"/>
  <c r="G85" i="1" s="1"/>
  <c r="E89" i="1"/>
  <c r="G89" i="1" s="1"/>
  <c r="E93" i="1"/>
  <c r="G93" i="1" s="1"/>
  <c r="E97" i="1"/>
  <c r="G97" i="1" s="1"/>
  <c r="E101" i="1"/>
  <c r="G101" i="1" s="1"/>
  <c r="E105" i="1"/>
  <c r="G105" i="1" s="1"/>
  <c r="E109" i="1"/>
  <c r="G109" i="1" s="1"/>
  <c r="E113" i="1"/>
  <c r="G113" i="1" s="1"/>
  <c r="E117" i="1"/>
  <c r="G117" i="1" s="1"/>
  <c r="E121" i="1"/>
  <c r="G121" i="1" s="1"/>
  <c r="E122" i="1"/>
  <c r="G122" i="1" s="1"/>
  <c r="E35" i="1"/>
  <c r="G35" i="1" s="1"/>
  <c r="E39" i="1"/>
  <c r="G39" i="1" s="1"/>
  <c r="G42" i="1"/>
  <c r="E43" i="1"/>
  <c r="G43" i="1" s="1"/>
  <c r="G49" i="1"/>
  <c r="G55" i="1"/>
  <c r="G59" i="1"/>
  <c r="E63" i="1"/>
  <c r="G63" i="1" s="1"/>
  <c r="E71" i="1"/>
  <c r="G71" i="1" s="1"/>
  <c r="E74" i="1"/>
  <c r="G74" i="1" s="1"/>
  <c r="E78" i="1"/>
  <c r="G78" i="1" s="1"/>
  <c r="E82" i="1"/>
  <c r="G82" i="1" s="1"/>
  <c r="E86" i="1"/>
  <c r="G86" i="1" s="1"/>
  <c r="E90" i="1"/>
  <c r="G90" i="1" s="1"/>
  <c r="E94" i="1"/>
  <c r="G94" i="1" s="1"/>
  <c r="E98" i="1"/>
  <c r="G98" i="1" s="1"/>
  <c r="E102" i="1"/>
  <c r="G102" i="1" s="1"/>
  <c r="E106" i="1"/>
  <c r="G106" i="1" s="1"/>
  <c r="E110" i="1"/>
  <c r="G110" i="1" s="1"/>
  <c r="E114" i="1"/>
  <c r="G114" i="1" s="1"/>
  <c r="E118" i="1"/>
  <c r="G118" i="1" s="1"/>
  <c r="G36" i="1"/>
  <c r="E38" i="1"/>
  <c r="G38" i="1" s="1"/>
  <c r="G40" i="1"/>
  <c r="E41" i="1"/>
  <c r="G41" i="1" s="1"/>
  <c r="E44" i="1"/>
  <c r="G44" i="1" s="1"/>
  <c r="E46" i="1"/>
  <c r="G46" i="1" s="1"/>
  <c r="G54" i="1"/>
  <c r="E56" i="1"/>
  <c r="G56" i="1" s="1"/>
  <c r="G58" i="1"/>
  <c r="G60" i="1"/>
  <c r="G62" i="1"/>
  <c r="E72" i="1"/>
  <c r="G72" i="1" s="1"/>
  <c r="E75" i="1"/>
  <c r="G75" i="1" s="1"/>
  <c r="E79" i="1"/>
  <c r="G79" i="1" s="1"/>
  <c r="E83" i="1"/>
  <c r="G83" i="1" s="1"/>
  <c r="E87" i="1"/>
  <c r="G87" i="1" s="1"/>
  <c r="E91" i="1"/>
  <c r="G91" i="1" s="1"/>
  <c r="E95" i="1"/>
  <c r="G95" i="1" s="1"/>
  <c r="E99" i="1"/>
  <c r="G99" i="1" s="1"/>
  <c r="E103" i="1"/>
  <c r="G103" i="1" s="1"/>
  <c r="E107" i="1"/>
  <c r="G107" i="1" s="1"/>
  <c r="E111" i="1"/>
  <c r="G111" i="1" s="1"/>
  <c r="E115" i="1"/>
  <c r="G115" i="1" s="1"/>
  <c r="E119" i="1"/>
  <c r="G119" i="1" s="1"/>
  <c r="G37" i="1"/>
  <c r="E45" i="1"/>
  <c r="G45" i="1" s="1"/>
  <c r="G47" i="1"/>
  <c r="E51" i="1"/>
  <c r="G51" i="1" s="1"/>
  <c r="G53" i="1"/>
  <c r="G57" i="1"/>
  <c r="G61" i="1"/>
  <c r="E65" i="1"/>
  <c r="G65" i="1" s="1"/>
  <c r="E67" i="1"/>
  <c r="G67" i="1" s="1"/>
  <c r="H69" i="1" l="1"/>
  <c r="I69" i="1" s="1"/>
  <c r="J69" i="1" s="1"/>
  <c r="K69" i="1" s="1"/>
  <c r="G27" i="1"/>
  <c r="H98" i="1"/>
  <c r="H105" i="1"/>
  <c r="H96" i="1"/>
  <c r="H119" i="1"/>
  <c r="H101" i="1"/>
  <c r="H73" i="1"/>
  <c r="H92" i="1"/>
  <c r="H90" i="1"/>
  <c r="H97" i="1"/>
  <c r="H120" i="1"/>
  <c r="H88" i="1"/>
  <c r="H91" i="1"/>
  <c r="H94" i="1"/>
  <c r="H111" i="1"/>
  <c r="H79" i="1"/>
  <c r="H118" i="1"/>
  <c r="H86" i="1"/>
  <c r="H122" i="1"/>
  <c r="H93" i="1"/>
  <c r="H116" i="1"/>
  <c r="H84" i="1"/>
  <c r="H82" i="1"/>
  <c r="H121" i="1"/>
  <c r="H89" i="1"/>
  <c r="H112" i="1"/>
  <c r="H80" i="1"/>
  <c r="H87" i="1"/>
  <c r="H75" i="1"/>
  <c r="H110" i="1"/>
  <c r="H78" i="1"/>
  <c r="H117" i="1"/>
  <c r="H85" i="1"/>
  <c r="H108" i="1"/>
  <c r="H76" i="1"/>
  <c r="H115" i="1"/>
  <c r="H107" i="1"/>
  <c r="H106" i="1"/>
  <c r="H74" i="1"/>
  <c r="H113" i="1"/>
  <c r="H81" i="1"/>
  <c r="H104" i="1"/>
  <c r="H83" i="1"/>
  <c r="H114" i="1"/>
  <c r="H103" i="1"/>
  <c r="H99" i="1"/>
  <c r="H95" i="1"/>
  <c r="H102" i="1"/>
  <c r="H109" i="1"/>
  <c r="H77" i="1"/>
  <c r="H100" i="1"/>
  <c r="H33" i="1"/>
  <c r="H70" i="1"/>
  <c r="H28" i="1"/>
  <c r="H56" i="1"/>
  <c r="H68" i="1"/>
  <c r="H67" i="1"/>
  <c r="H31" i="1"/>
  <c r="H54" i="1"/>
  <c r="H55" i="1"/>
  <c r="H30" i="1"/>
  <c r="H66" i="1"/>
  <c r="H63" i="1"/>
  <c r="H59" i="1"/>
  <c r="H61" i="1"/>
  <c r="H49" i="1"/>
  <c r="H64" i="1"/>
  <c r="H37" i="1"/>
  <c r="H65" i="1"/>
  <c r="H32" i="1"/>
  <c r="H57" i="1"/>
  <c r="H53" i="1"/>
  <c r="H44" i="1"/>
  <c r="H43" i="1"/>
  <c r="H52" i="1"/>
  <c r="H29" i="1"/>
  <c r="H46" i="1"/>
  <c r="H72" i="1"/>
  <c r="H42" i="1"/>
  <c r="H50" i="1"/>
  <c r="H58" i="1"/>
  <c r="H41" i="1"/>
  <c r="H47" i="1"/>
  <c r="H62" i="1"/>
  <c r="H39" i="1"/>
  <c r="H48" i="1"/>
  <c r="H36" i="1"/>
  <c r="H51" i="1"/>
  <c r="H40" i="1"/>
  <c r="H45" i="1"/>
  <c r="H60" i="1"/>
  <c r="H38" i="1"/>
  <c r="H71" i="1"/>
  <c r="H35" i="1"/>
  <c r="H34" i="1"/>
  <c r="I95" i="1" l="1"/>
  <c r="J95" i="1" s="1"/>
  <c r="K95" i="1" s="1"/>
  <c r="I83" i="1"/>
  <c r="J83" i="1" s="1"/>
  <c r="K83" i="1" s="1"/>
  <c r="I78" i="1"/>
  <c r="J78" i="1" s="1"/>
  <c r="K78" i="1" s="1"/>
  <c r="I80" i="1"/>
  <c r="J80" i="1" s="1"/>
  <c r="K80" i="1" s="1"/>
  <c r="I122" i="1"/>
  <c r="J122" i="1" s="1"/>
  <c r="K122" i="1" s="1"/>
  <c r="I111" i="1"/>
  <c r="J111" i="1" s="1"/>
  <c r="K111" i="1" s="1"/>
  <c r="I120" i="1"/>
  <c r="J120" i="1" s="1"/>
  <c r="K120" i="1" s="1"/>
  <c r="I73" i="1"/>
  <c r="J73" i="1" s="1"/>
  <c r="K73" i="1" s="1"/>
  <c r="I105" i="1"/>
  <c r="J105" i="1" s="1"/>
  <c r="K105" i="1" s="1"/>
  <c r="I102" i="1"/>
  <c r="J102" i="1" s="1"/>
  <c r="K102" i="1" s="1"/>
  <c r="I113" i="1"/>
  <c r="J113" i="1" s="1"/>
  <c r="K113" i="1" s="1"/>
  <c r="I115" i="1"/>
  <c r="J115" i="1" s="1"/>
  <c r="K115" i="1" s="1"/>
  <c r="I117" i="1"/>
  <c r="J117" i="1" s="1"/>
  <c r="K117" i="1" s="1"/>
  <c r="I121" i="1"/>
  <c r="J121" i="1" s="1"/>
  <c r="K121" i="1" s="1"/>
  <c r="I79" i="1"/>
  <c r="J79" i="1" s="1"/>
  <c r="K79" i="1" s="1"/>
  <c r="I110" i="1"/>
  <c r="J110" i="1" s="1"/>
  <c r="K110" i="1" s="1"/>
  <c r="I112" i="1"/>
  <c r="J112" i="1" s="1"/>
  <c r="K112" i="1" s="1"/>
  <c r="I86" i="1"/>
  <c r="J86" i="1" s="1"/>
  <c r="K86" i="1" s="1"/>
  <c r="I94" i="1"/>
  <c r="J94" i="1" s="1"/>
  <c r="K94" i="1" s="1"/>
  <c r="I97" i="1"/>
  <c r="J97" i="1" s="1"/>
  <c r="K97" i="1" s="1"/>
  <c r="I101" i="1"/>
  <c r="J101" i="1" s="1"/>
  <c r="K101" i="1" s="1"/>
  <c r="I88" i="1"/>
  <c r="J88" i="1" s="1"/>
  <c r="K88" i="1" s="1"/>
  <c r="I96" i="1"/>
  <c r="J96" i="1" s="1"/>
  <c r="K96" i="1" s="1"/>
  <c r="I63" i="1"/>
  <c r="J63" i="1" s="1"/>
  <c r="K63" i="1" s="1"/>
  <c r="I52" i="1"/>
  <c r="J52" i="1" s="1"/>
  <c r="K52" i="1" s="1"/>
  <c r="I64" i="1"/>
  <c r="J64" i="1" s="1"/>
  <c r="K64" i="1" s="1"/>
  <c r="I34" i="1"/>
  <c r="J34" i="1" s="1"/>
  <c r="K34" i="1" s="1"/>
  <c r="I54" i="1"/>
  <c r="J54" i="1" s="1"/>
  <c r="K54" i="1" s="1"/>
  <c r="I51" i="1"/>
  <c r="J51" i="1" s="1"/>
  <c r="K51" i="1" s="1"/>
  <c r="I29" i="1"/>
  <c r="J29" i="1" s="1"/>
  <c r="K29" i="1" s="1"/>
  <c r="I53" i="1"/>
  <c r="J53" i="1" s="1"/>
  <c r="K53" i="1" s="1"/>
  <c r="I109" i="1"/>
  <c r="J109" i="1" s="1"/>
  <c r="K109" i="1" s="1"/>
  <c r="I103" i="1"/>
  <c r="J103" i="1" s="1"/>
  <c r="K103" i="1" s="1"/>
  <c r="I116" i="1"/>
  <c r="J116" i="1" s="1"/>
  <c r="K116" i="1" s="1"/>
  <c r="I119" i="1"/>
  <c r="J119" i="1" s="1"/>
  <c r="K119" i="1" s="1"/>
  <c r="I81" i="1"/>
  <c r="J81" i="1" s="1"/>
  <c r="K81" i="1" s="1"/>
  <c r="I107" i="1"/>
  <c r="J107" i="1" s="1"/>
  <c r="K107" i="1" s="1"/>
  <c r="I85" i="1"/>
  <c r="J85" i="1" s="1"/>
  <c r="K85" i="1" s="1"/>
  <c r="I75" i="1"/>
  <c r="J75" i="1" s="1"/>
  <c r="K75" i="1" s="1"/>
  <c r="I89" i="1"/>
  <c r="J89" i="1" s="1"/>
  <c r="K89" i="1" s="1"/>
  <c r="I118" i="1"/>
  <c r="J118" i="1" s="1"/>
  <c r="K118" i="1" s="1"/>
  <c r="I91" i="1"/>
  <c r="J91" i="1" s="1"/>
  <c r="K91" i="1" s="1"/>
  <c r="I90" i="1"/>
  <c r="J90" i="1" s="1"/>
  <c r="K90" i="1" s="1"/>
  <c r="I114" i="1"/>
  <c r="J114" i="1" s="1"/>
  <c r="K114" i="1" s="1"/>
  <c r="I87" i="1"/>
  <c r="J87" i="1" s="1"/>
  <c r="K87" i="1" s="1"/>
  <c r="I93" i="1"/>
  <c r="J93" i="1" s="1"/>
  <c r="K93" i="1" s="1"/>
  <c r="I92" i="1"/>
  <c r="J92" i="1" s="1"/>
  <c r="K92" i="1" s="1"/>
  <c r="I100" i="1"/>
  <c r="J100" i="1" s="1"/>
  <c r="K100" i="1" s="1"/>
  <c r="I74" i="1"/>
  <c r="J74" i="1" s="1"/>
  <c r="K74" i="1" s="1"/>
  <c r="I76" i="1"/>
  <c r="J76" i="1" s="1"/>
  <c r="K76" i="1" s="1"/>
  <c r="I82" i="1"/>
  <c r="J82" i="1" s="1"/>
  <c r="K82" i="1" s="1"/>
  <c r="I40" i="1"/>
  <c r="J40" i="1" s="1"/>
  <c r="K40" i="1" s="1"/>
  <c r="I44" i="1"/>
  <c r="J44" i="1" s="1"/>
  <c r="K44" i="1" s="1"/>
  <c r="I61" i="1"/>
  <c r="J61" i="1" s="1"/>
  <c r="K61" i="1" s="1"/>
  <c r="I67" i="1"/>
  <c r="J67" i="1" s="1"/>
  <c r="K67" i="1" s="1"/>
  <c r="I77" i="1"/>
  <c r="J77" i="1" s="1"/>
  <c r="K77" i="1" s="1"/>
  <c r="I99" i="1"/>
  <c r="J99" i="1" s="1"/>
  <c r="K99" i="1" s="1"/>
  <c r="I104" i="1"/>
  <c r="J104" i="1" s="1"/>
  <c r="K104" i="1" s="1"/>
  <c r="I106" i="1"/>
  <c r="J106" i="1" s="1"/>
  <c r="K106" i="1" s="1"/>
  <c r="I108" i="1"/>
  <c r="J108" i="1" s="1"/>
  <c r="K108" i="1" s="1"/>
  <c r="I84" i="1"/>
  <c r="J84" i="1" s="1"/>
  <c r="K84" i="1" s="1"/>
  <c r="I98" i="1"/>
  <c r="J98" i="1" s="1"/>
  <c r="K98" i="1" s="1"/>
  <c r="I37" i="1"/>
  <c r="J37" i="1" s="1"/>
  <c r="K37" i="1" s="1"/>
  <c r="I45" i="1"/>
  <c r="J45" i="1" s="1"/>
  <c r="K45" i="1" s="1"/>
  <c r="I72" i="1"/>
  <c r="J72" i="1" s="1"/>
  <c r="K72" i="1" s="1"/>
  <c r="I32" i="1"/>
  <c r="J32" i="1" s="1"/>
  <c r="K32" i="1" s="1"/>
  <c r="I35" i="1"/>
  <c r="J35" i="1" s="1"/>
  <c r="K35" i="1" s="1"/>
  <c r="I48" i="1"/>
  <c r="J48" i="1" s="1"/>
  <c r="K48" i="1" s="1"/>
  <c r="I41" i="1"/>
  <c r="J41" i="1" s="1"/>
  <c r="K41" i="1" s="1"/>
  <c r="I43" i="1"/>
  <c r="J43" i="1" s="1"/>
  <c r="K43" i="1" s="1"/>
  <c r="I49" i="1"/>
  <c r="J49" i="1" s="1"/>
  <c r="K49" i="1" s="1"/>
  <c r="I66" i="1"/>
  <c r="J66" i="1" s="1"/>
  <c r="K66" i="1" s="1"/>
  <c r="I31" i="1"/>
  <c r="J31" i="1" s="1"/>
  <c r="K31" i="1" s="1"/>
  <c r="I28" i="1"/>
  <c r="J28" i="1" s="1"/>
  <c r="K28" i="1" s="1"/>
  <c r="E125" i="1"/>
  <c r="R10" i="2"/>
  <c r="H27" i="1"/>
  <c r="I71" i="1"/>
  <c r="J71" i="1" s="1"/>
  <c r="K71" i="1" s="1"/>
  <c r="I39" i="1"/>
  <c r="J39" i="1" s="1"/>
  <c r="K39" i="1" s="1"/>
  <c r="I58" i="1"/>
  <c r="J58" i="1" s="1"/>
  <c r="K58" i="1" s="1"/>
  <c r="I46" i="1"/>
  <c r="J46" i="1" s="1"/>
  <c r="K46" i="1" s="1"/>
  <c r="I65" i="1"/>
  <c r="J65" i="1" s="1"/>
  <c r="K65" i="1" s="1"/>
  <c r="I30" i="1"/>
  <c r="J30" i="1" s="1"/>
  <c r="K30" i="1" s="1"/>
  <c r="I70" i="1"/>
  <c r="J70" i="1" s="1"/>
  <c r="K70" i="1" s="1"/>
  <c r="I38" i="1"/>
  <c r="J38" i="1" s="1"/>
  <c r="K38" i="1" s="1"/>
  <c r="I59" i="1"/>
  <c r="J59" i="1" s="1"/>
  <c r="K59" i="1" s="1"/>
  <c r="I55" i="1"/>
  <c r="J55" i="1" s="1"/>
  <c r="K55" i="1" s="1"/>
  <c r="I68" i="1"/>
  <c r="J68" i="1" s="1"/>
  <c r="K68" i="1" s="1"/>
  <c r="I62" i="1"/>
  <c r="J62" i="1" s="1"/>
  <c r="K62" i="1" s="1"/>
  <c r="I50" i="1"/>
  <c r="J50" i="1" s="1"/>
  <c r="K50" i="1" s="1"/>
  <c r="I60" i="1"/>
  <c r="J60" i="1" s="1"/>
  <c r="K60" i="1" s="1"/>
  <c r="I36" i="1"/>
  <c r="J36" i="1" s="1"/>
  <c r="K36" i="1" s="1"/>
  <c r="I47" i="1"/>
  <c r="J47" i="1" s="1"/>
  <c r="K47" i="1" s="1"/>
  <c r="I42" i="1"/>
  <c r="J42" i="1" s="1"/>
  <c r="K42" i="1" s="1"/>
  <c r="I57" i="1"/>
  <c r="J57" i="1" s="1"/>
  <c r="K57" i="1" s="1"/>
  <c r="I56" i="1"/>
  <c r="J56" i="1" s="1"/>
  <c r="K56" i="1" s="1"/>
  <c r="I33" i="1"/>
  <c r="J33" i="1" s="1"/>
  <c r="K33" i="1" s="1"/>
  <c r="I27" i="1" l="1"/>
  <c r="J27" i="1" s="1"/>
  <c r="K27" i="1" s="1"/>
  <c r="Q11" i="2"/>
  <c r="R11" i="2" s="1"/>
  <c r="S11" i="2" l="1"/>
  <c r="D10" i="2"/>
  <c r="Q12" i="2" l="1"/>
  <c r="R12" i="2" s="1"/>
  <c r="E10" i="2" l="1"/>
  <c r="S12" i="2"/>
  <c r="Q13" i="2" l="1"/>
  <c r="R13" i="2" s="1"/>
  <c r="F10" i="2" l="1"/>
  <c r="S13" i="2"/>
  <c r="Q14" i="2" l="1"/>
  <c r="R14" i="2" s="1"/>
  <c r="S14" i="2" l="1"/>
  <c r="G10" i="2"/>
  <c r="Q15" i="2" l="1"/>
  <c r="R15" i="2" s="1"/>
  <c r="S15" i="2" l="1"/>
  <c r="H10" i="2"/>
  <c r="Q16" i="2" l="1"/>
  <c r="R16" i="2" s="1"/>
  <c r="I10" i="2" l="1"/>
  <c r="S16" i="2"/>
  <c r="Q17" i="2" l="1"/>
  <c r="R17" i="2" s="1"/>
  <c r="J10" i="2" l="1"/>
  <c r="S17" i="2"/>
  <c r="Q18" i="2" l="1"/>
  <c r="R18" i="2" s="1"/>
  <c r="K10" i="2" l="1"/>
  <c r="S18" i="2"/>
  <c r="Q19" i="2" l="1"/>
  <c r="R19" i="2" s="1"/>
  <c r="L10" i="2" l="1"/>
  <c r="S19" i="2"/>
  <c r="Q20" i="2" l="1"/>
  <c r="R20" i="2" s="1"/>
  <c r="S20" i="2" l="1"/>
  <c r="M10" i="2"/>
  <c r="Q23" i="2" l="1"/>
  <c r="R23" i="2" s="1"/>
  <c r="N10" i="2" l="1"/>
  <c r="S23" i="2"/>
  <c r="Q24" i="2" l="1"/>
  <c r="C11" i="2" s="1"/>
  <c r="R24" i="2" l="1"/>
  <c r="S24" i="2"/>
  <c r="Q25" i="2" l="1"/>
  <c r="R25" i="2" s="1"/>
  <c r="S25" i="2" l="1"/>
  <c r="D11" i="2"/>
  <c r="Q26" i="2" l="1"/>
  <c r="R26" i="2" s="1"/>
  <c r="E11" i="2" l="1"/>
  <c r="S26" i="2"/>
  <c r="Q27" i="2" l="1"/>
  <c r="R27" i="2" s="1"/>
  <c r="S27" i="2" l="1"/>
  <c r="F11" i="2"/>
  <c r="Q28" i="2" l="1"/>
  <c r="R28" i="2" s="1"/>
  <c r="G11" i="2" l="1"/>
  <c r="S28" i="2"/>
  <c r="Q29" i="2" l="1"/>
  <c r="R29" i="2" s="1"/>
  <c r="S29" i="2" l="1"/>
  <c r="H11" i="2"/>
  <c r="Q30" i="2" l="1"/>
  <c r="R30" i="2" s="1"/>
  <c r="S30" i="2" l="1"/>
  <c r="I11" i="2"/>
  <c r="Q31" i="2" l="1"/>
  <c r="R31" i="2" s="1"/>
  <c r="J11" i="2" l="1"/>
  <c r="S31" i="2"/>
  <c r="Q32" i="2" l="1"/>
  <c r="R32" i="2" s="1"/>
  <c r="K11" i="2" l="1"/>
  <c r="S32" i="2"/>
  <c r="Q33" i="2" l="1"/>
  <c r="R33" i="2" s="1"/>
  <c r="S33" i="2" l="1"/>
  <c r="L11" i="2"/>
  <c r="Q34" i="2" l="1"/>
  <c r="R34" i="2" s="1"/>
  <c r="S34" i="2" l="1"/>
  <c r="M11" i="2"/>
  <c r="Q35" i="2" l="1"/>
  <c r="R35" i="2" s="1"/>
  <c r="S35" i="2" l="1"/>
  <c r="N11" i="2"/>
  <c r="Q36" i="2" l="1"/>
  <c r="C12" i="2" s="1"/>
  <c r="S36" i="2" l="1"/>
  <c r="R36" i="2"/>
  <c r="Q37" i="2" l="1"/>
  <c r="R37" i="2" s="1"/>
  <c r="D12" i="2" l="1"/>
  <c r="S37" i="2"/>
  <c r="Q38" i="2" l="1"/>
  <c r="R38" i="2" s="1"/>
  <c r="S38" i="2" l="1"/>
  <c r="E12" i="2"/>
  <c r="Q39" i="2" l="1"/>
  <c r="R39" i="2" s="1"/>
  <c r="S39" i="2" l="1"/>
  <c r="F12" i="2"/>
  <c r="Q40" i="2" l="1"/>
  <c r="R40" i="2" s="1"/>
  <c r="S40" i="2" l="1"/>
  <c r="G12" i="2"/>
  <c r="Q41" i="2" l="1"/>
  <c r="R41" i="2" s="1"/>
  <c r="H12" i="2" l="1"/>
  <c r="S41" i="2"/>
  <c r="Q42" i="2" l="1"/>
  <c r="R42" i="2" s="1"/>
  <c r="S42" i="2" l="1"/>
  <c r="I12" i="2"/>
  <c r="Q43" i="2" l="1"/>
  <c r="R43" i="2" s="1"/>
  <c r="S43" i="2" l="1"/>
  <c r="J12" i="2"/>
  <c r="Q44" i="2" l="1"/>
  <c r="R44" i="2" s="1"/>
  <c r="S44" i="2" l="1"/>
  <c r="K12" i="2"/>
  <c r="Q45" i="2" l="1"/>
  <c r="R45" i="2" s="1"/>
  <c r="S45" i="2" l="1"/>
  <c r="L12" i="2"/>
  <c r="Q46" i="2" l="1"/>
  <c r="R46" i="2" s="1"/>
  <c r="M12" i="2" l="1"/>
  <c r="S46" i="2"/>
  <c r="Q47" i="2" l="1"/>
  <c r="R47" i="2" s="1"/>
  <c r="S47" i="2" l="1"/>
  <c r="N12" i="2"/>
  <c r="Q48" i="2" l="1"/>
  <c r="R48" i="2" s="1"/>
  <c r="C13" i="2" l="1"/>
  <c r="S48" i="2"/>
  <c r="Q49" i="2" l="1"/>
  <c r="R49" i="2" s="1"/>
  <c r="D13" i="2" l="1"/>
  <c r="S49" i="2"/>
  <c r="Q50" i="2" l="1"/>
  <c r="R50" i="2" s="1"/>
  <c r="S50" i="2" l="1"/>
  <c r="E13" i="2"/>
  <c r="Q51" i="2" l="1"/>
  <c r="R51" i="2" s="1"/>
  <c r="F13" i="2" l="1"/>
  <c r="S51" i="2"/>
  <c r="Q52" i="2" l="1"/>
  <c r="R52" i="2" s="1"/>
  <c r="G13" i="2" l="1"/>
  <c r="S52" i="2"/>
  <c r="Q53" i="2" l="1"/>
  <c r="R53" i="2" s="1"/>
  <c r="H13" i="2" l="1"/>
  <c r="S53" i="2"/>
  <c r="Q54" i="2" l="1"/>
  <c r="R54" i="2" s="1"/>
  <c r="S54" i="2" l="1"/>
  <c r="I13" i="2"/>
  <c r="Q55" i="2" l="1"/>
  <c r="R55" i="2" s="1"/>
  <c r="S55" i="2" l="1"/>
  <c r="J13" i="2"/>
  <c r="Q56" i="2" l="1"/>
  <c r="R56" i="2" s="1"/>
  <c r="S56" i="2" l="1"/>
  <c r="K13" i="2"/>
  <c r="Q57" i="2" l="1"/>
  <c r="R57" i="2" s="1"/>
  <c r="L13" i="2" l="1"/>
  <c r="S57" i="2"/>
  <c r="Q58" i="2" l="1"/>
  <c r="R58" i="2" s="1"/>
  <c r="S58" i="2" l="1"/>
  <c r="M13" i="2"/>
  <c r="Q59" i="2" l="1"/>
  <c r="S59" i="2" s="1"/>
  <c r="R59" i="2" l="1"/>
  <c r="Q60" i="2" s="1"/>
  <c r="R60" i="2" s="1"/>
  <c r="N13" i="2"/>
  <c r="S60" i="2" l="1"/>
  <c r="Q61" i="2" s="1"/>
  <c r="C14" i="2"/>
  <c r="S61" i="2" l="1"/>
  <c r="D14" i="2"/>
  <c r="R61" i="2"/>
  <c r="Q62" i="2" l="1"/>
  <c r="R62" i="2" s="1"/>
  <c r="S62" i="2" l="1"/>
  <c r="E14" i="2"/>
  <c r="Q63" i="2" l="1"/>
  <c r="R63" i="2" s="1"/>
  <c r="S63" i="2" l="1"/>
  <c r="F14" i="2"/>
  <c r="Q64" i="2" l="1"/>
  <c r="R64" i="2" s="1"/>
  <c r="S64" i="2" l="1"/>
  <c r="Q65" i="2" s="1"/>
  <c r="G14" i="2"/>
  <c r="S65" i="2" l="1"/>
  <c r="H14" i="2"/>
  <c r="R65" i="2"/>
  <c r="Q66" i="2" l="1"/>
  <c r="R66" i="2" s="1"/>
  <c r="S66" i="2" l="1"/>
  <c r="I14" i="2"/>
  <c r="Q67" i="2" l="1"/>
  <c r="R67" i="2" s="1"/>
  <c r="S67" i="2" l="1"/>
  <c r="J14" i="2"/>
  <c r="Q68" i="2" l="1"/>
  <c r="R68" i="2" s="1"/>
  <c r="S68" i="2" l="1"/>
  <c r="Q69" i="2" s="1"/>
  <c r="K14" i="2"/>
  <c r="S69" i="2" l="1"/>
  <c r="L14" i="2"/>
  <c r="R69" i="2"/>
  <c r="Q70" i="2" l="1"/>
  <c r="R70" i="2" s="1"/>
  <c r="S70" i="2" l="1"/>
  <c r="Q71" i="2" s="1"/>
  <c r="M14" i="2"/>
  <c r="S71" i="2" l="1"/>
  <c r="N14" i="2"/>
  <c r="R71" i="2"/>
  <c r="Q72" i="2" l="1"/>
  <c r="R72" i="2" s="1"/>
  <c r="S72" i="2" l="1"/>
  <c r="Q73" i="2" s="1"/>
  <c r="C15" i="2"/>
  <c r="S73" i="2" l="1"/>
  <c r="D15" i="2"/>
  <c r="R73" i="2"/>
  <c r="Q74" i="2" l="1"/>
  <c r="R74" i="2" s="1"/>
  <c r="S74" i="2" l="1"/>
  <c r="Q75" i="2" s="1"/>
  <c r="E15" i="2"/>
  <c r="S75" i="2" l="1"/>
  <c r="F15" i="2"/>
  <c r="R75" i="2"/>
  <c r="Q76" i="2" l="1"/>
  <c r="R76" i="2" s="1"/>
  <c r="S76" i="2" l="1"/>
  <c r="Q77" i="2" s="1"/>
  <c r="G15" i="2"/>
  <c r="S77" i="2" l="1"/>
  <c r="H15" i="2"/>
  <c r="R77" i="2"/>
  <c r="Q78" i="2" l="1"/>
  <c r="R78" i="2" s="1"/>
  <c r="S78" i="2" l="1"/>
  <c r="Q79" i="2" s="1"/>
  <c r="I15" i="2"/>
  <c r="S79" i="2" l="1"/>
  <c r="J15" i="2"/>
  <c r="R79" i="2"/>
  <c r="Q80" i="2" l="1"/>
  <c r="R80" i="2" s="1"/>
  <c r="S80" i="2" l="1"/>
  <c r="K15" i="2"/>
  <c r="Q81" i="2" l="1"/>
  <c r="R81" i="2" s="1"/>
  <c r="S81" i="2" l="1"/>
  <c r="L15" i="2"/>
  <c r="Q82" i="2" l="1"/>
  <c r="R82" i="2" s="1"/>
  <c r="S82" i="2" l="1"/>
  <c r="M15" i="2"/>
  <c r="Q83" i="2" l="1"/>
  <c r="R83" i="2" s="1"/>
  <c r="S83" i="2" l="1"/>
  <c r="N15" i="2"/>
  <c r="Q84" i="2" l="1"/>
  <c r="R84" i="2" s="1"/>
  <c r="S84" i="2" l="1"/>
  <c r="Q85" i="2" s="1"/>
  <c r="C16" i="2"/>
  <c r="S85" i="2" l="1"/>
  <c r="D16" i="2"/>
  <c r="R85" i="2"/>
  <c r="Q86" i="2" l="1"/>
  <c r="R86" i="2" s="1"/>
  <c r="S86" i="2" l="1"/>
  <c r="Q87" i="2" s="1"/>
  <c r="E16" i="2"/>
  <c r="S87" i="2" l="1"/>
  <c r="F16" i="2"/>
  <c r="R87" i="2"/>
  <c r="Q88" i="2" l="1"/>
  <c r="R88" i="2" s="1"/>
  <c r="S88" i="2" l="1"/>
  <c r="G16" i="2"/>
  <c r="Q89" i="2" l="1"/>
  <c r="S89" i="2" l="1"/>
  <c r="H16" i="2"/>
  <c r="R89" i="2"/>
  <c r="Q90" i="2" l="1"/>
  <c r="R90" i="2" s="1"/>
  <c r="S90" i="2" l="1"/>
  <c r="Q91" i="2" s="1"/>
  <c r="I16" i="2"/>
  <c r="S91" i="2" l="1"/>
  <c r="J16" i="2"/>
  <c r="R91" i="2"/>
  <c r="Q92" i="2" l="1"/>
  <c r="R92" i="2" s="1"/>
  <c r="S92" i="2" l="1"/>
  <c r="Q93" i="2" s="1"/>
  <c r="K16" i="2"/>
  <c r="S93" i="2" l="1"/>
  <c r="L16" i="2"/>
  <c r="R93" i="2"/>
  <c r="Q94" i="2" l="1"/>
  <c r="R94" i="2" s="1"/>
  <c r="S94" i="2" l="1"/>
  <c r="Q95" i="2" s="1"/>
  <c r="M16" i="2"/>
  <c r="S95" i="2" l="1"/>
  <c r="N16" i="2"/>
  <c r="R95" i="2"/>
  <c r="Q96" i="2" l="1"/>
  <c r="R96" i="2" s="1"/>
  <c r="S96" i="2" l="1"/>
  <c r="Q97" i="2" s="1"/>
  <c r="C17" i="2"/>
  <c r="S97" i="2" l="1"/>
  <c r="D17" i="2"/>
  <c r="R97" i="2"/>
  <c r="Q98" i="2" l="1"/>
  <c r="R98" i="2" s="1"/>
  <c r="S98" i="2" l="1"/>
  <c r="Q99" i="2" s="1"/>
  <c r="E17" i="2"/>
  <c r="S99" i="2" l="1"/>
  <c r="F17" i="2"/>
  <c r="R99" i="2"/>
  <c r="Q100" i="2" l="1"/>
  <c r="R100" i="2" s="1"/>
  <c r="S100" i="2" l="1"/>
  <c r="Q101" i="2" s="1"/>
  <c r="G17" i="2"/>
  <c r="S101" i="2" l="1"/>
  <c r="H17" i="2"/>
  <c r="R101" i="2"/>
  <c r="Q102" i="2" l="1"/>
  <c r="R102" i="2" s="1"/>
  <c r="S102" i="2" l="1"/>
  <c r="I17" i="2"/>
  <c r="Q103" i="2" l="1"/>
  <c r="R103" i="2" s="1"/>
  <c r="S103" i="2" l="1"/>
  <c r="J17" i="2"/>
  <c r="Q104" i="2" l="1"/>
  <c r="R104" i="2" s="1"/>
  <c r="S104" i="2" l="1"/>
  <c r="K17" i="2"/>
  <c r="Q105" i="2" l="1"/>
  <c r="R105" i="2" s="1"/>
  <c r="S105" i="2" l="1"/>
  <c r="L17" i="2"/>
  <c r="Q106" i="2" l="1"/>
  <c r="R106" i="2" s="1"/>
  <c r="M17" i="2" l="1"/>
  <c r="S106" i="2"/>
  <c r="Q107" i="2" l="1"/>
  <c r="R107" i="2" s="1"/>
  <c r="N17" i="2" l="1"/>
  <c r="S107" i="2"/>
</calcChain>
</file>

<file path=xl/sharedStrings.xml><?xml version="1.0" encoding="utf-8"?>
<sst xmlns="http://schemas.openxmlformats.org/spreadsheetml/2006/main" count="84" uniqueCount="82">
  <si>
    <t>Sample Number</t>
  </si>
  <si>
    <t>A</t>
  </si>
  <si>
    <t>B</t>
  </si>
  <si>
    <t>C</t>
  </si>
  <si>
    <t>D</t>
  </si>
  <si>
    <t>Well Number</t>
  </si>
  <si>
    <t>number of times sample called</t>
  </si>
  <si>
    <t># wells</t>
  </si>
  <si>
    <t>E</t>
  </si>
  <si>
    <t>F</t>
  </si>
  <si>
    <t>G</t>
  </si>
  <si>
    <t>H</t>
  </si>
  <si>
    <t>Sample Name</t>
  </si>
  <si>
    <t>Sample #</t>
  </si>
  <si>
    <t>Percent Contributing</t>
  </si>
  <si>
    <t>TOTALS:</t>
  </si>
  <si>
    <t>Evercode WT Mega Sample Loading Table</t>
  </si>
  <si>
    <t xml:space="preserve"> - For more details on using this Sample Loading Table, see the Important Guidelines section of the User Manual</t>
  </si>
  <si>
    <t>This sheet should be filled out prior to starting Section 1.</t>
  </si>
  <si>
    <t>Step</t>
  </si>
  <si>
    <t>Instructions</t>
  </si>
  <si>
    <t>Ensure Macros are enabled.</t>
  </si>
  <si>
    <t>Input the number of samples.</t>
  </si>
  <si>
    <t>Input your sample names.</t>
  </si>
  <si>
    <t>Input stock cell concentration for each sample.</t>
  </si>
  <si>
    <r>
      <t xml:space="preserve">Prepare the dilutions as described. </t>
    </r>
    <r>
      <rPr>
        <sz val="12"/>
        <color rgb="FFB6007C"/>
        <rFont val="M PLUS 2"/>
      </rPr>
      <t>CRITICAL:</t>
    </r>
    <r>
      <rPr>
        <sz val="12"/>
        <color rgb="FF550088"/>
        <rFont val="M PLUS 2"/>
      </rPr>
      <t xml:space="preserve"> </t>
    </r>
    <r>
      <rPr>
        <sz val="12"/>
        <color rgb="FF525252"/>
        <rFont val="M PLUS 2"/>
      </rPr>
      <t>Ensure that Sample Dilution Buffer is completely thawed before use.</t>
    </r>
  </si>
  <si>
    <r>
      <t xml:space="preserve">Open the "Plate Configuration" sheet. With the plate on ice, add 14 uL of each diluted sample to the appropriate well(s) of the Round 1 Plate as shown in the plate map. </t>
    </r>
    <r>
      <rPr>
        <sz val="12"/>
        <color rgb="FFB6007C"/>
        <rFont val="M PLUS 2"/>
      </rPr>
      <t xml:space="preserve">CRITICAL: </t>
    </r>
    <r>
      <rPr>
        <sz val="12"/>
        <color rgb="FF525252"/>
        <rFont val="M PLUS 2"/>
      </rPr>
      <t>Follow the instructions in the User Guide with respect to sample mixing and changing tips.</t>
    </r>
  </si>
  <si>
    <r>
      <rPr>
        <sz val="12"/>
        <color rgb="FFB6007C"/>
        <rFont val="M PLUS 2"/>
      </rPr>
      <t xml:space="preserve">CRITICAL: </t>
    </r>
    <r>
      <rPr>
        <sz val="12"/>
        <color rgb="FF525252"/>
        <rFont val="M PLUS 2"/>
      </rPr>
      <t>We do not recommend editing cells highlighted in grey.</t>
    </r>
  </si>
  <si>
    <r>
      <t xml:space="preserve">Input the target percentage representation of each sample in the final library. </t>
    </r>
    <r>
      <rPr>
        <sz val="12"/>
        <color rgb="FFB6007C"/>
        <rFont val="M PLUS 2"/>
      </rPr>
      <t>CRITICAL:</t>
    </r>
    <r>
      <rPr>
        <sz val="12"/>
        <color rgb="FF525252"/>
        <rFont val="M PLUS 2"/>
      </rPr>
      <t xml:space="preserve"> No percentage can be lower than 1.05%.</t>
    </r>
  </si>
  <si>
    <r>
      <t xml:space="preserve">Input the target number of barcoded cells. </t>
    </r>
    <r>
      <rPr>
        <sz val="12"/>
        <color rgb="FF550088"/>
        <rFont val="M PLUS 2"/>
      </rPr>
      <t>Note:</t>
    </r>
    <r>
      <rPr>
        <sz val="12"/>
        <color rgb="FF525252"/>
        <rFont val="M PLUS 2"/>
      </rPr>
      <t xml:space="preserve"> The default is 1,000,000 cells for Evercode WT Mega.</t>
    </r>
  </si>
  <si>
    <t xml:space="preserve">If not already done, count the samples as described in Section 1.1 of the Evercode WT Mega User Manual. </t>
  </si>
  <si>
    <r>
      <t>Number of Samples</t>
    </r>
    <r>
      <rPr>
        <b/>
        <sz val="12"/>
        <color rgb="FF550088"/>
        <rFont val="M PLUS 2"/>
      </rPr>
      <t xml:space="preserve"> (Step 2)</t>
    </r>
    <r>
      <rPr>
        <b/>
        <sz val="12"/>
        <color rgb="FF525252"/>
        <rFont val="M PLUS 2"/>
      </rPr>
      <t>:</t>
    </r>
  </si>
  <si>
    <r>
      <t xml:space="preserve">Target Number Barcoded Cells </t>
    </r>
    <r>
      <rPr>
        <b/>
        <sz val="12"/>
        <color rgb="FF550088"/>
        <rFont val="M PLUS 2"/>
      </rPr>
      <t>(Step 3)</t>
    </r>
    <r>
      <rPr>
        <b/>
        <sz val="12"/>
        <color rgb="FF525252"/>
        <rFont val="M PLUS 2"/>
      </rPr>
      <t>:</t>
    </r>
  </si>
  <si>
    <r>
      <t xml:space="preserve">Sample Name                                                           </t>
    </r>
    <r>
      <rPr>
        <b/>
        <sz val="12"/>
        <color rgb="FF550088"/>
        <rFont val="M PLUS 2"/>
      </rPr>
      <t>(Step 4)</t>
    </r>
  </si>
  <si>
    <r>
      <t xml:space="preserve">Percent of Library         </t>
    </r>
    <r>
      <rPr>
        <b/>
        <sz val="12"/>
        <color rgb="FF550088"/>
        <rFont val="M PLUS 2"/>
      </rPr>
      <t>(Step 5)</t>
    </r>
  </si>
  <si>
    <r>
      <t xml:space="preserve">Stock Concentration (cells/uL)                          </t>
    </r>
    <r>
      <rPr>
        <b/>
        <sz val="12"/>
        <color rgb="FF550088"/>
        <rFont val="M PLUS 2"/>
      </rPr>
      <t>(Step 6)</t>
    </r>
  </si>
  <si>
    <t>Number of Wells</t>
  </si>
  <si>
    <t>Targeted Number of Barcoded Cells</t>
  </si>
  <si>
    <t>Required Sample Concentration  (cells/uL)</t>
  </si>
  <si>
    <t>Required Volume           + 10% overage (uL)</t>
  </si>
  <si>
    <r>
      <t>Volume of Sample Stock Dilution (uL)                (</t>
    </r>
    <r>
      <rPr>
        <b/>
        <sz val="12"/>
        <color rgb="FF550088"/>
        <rFont val="M PLUS 2"/>
      </rPr>
      <t>Step 7</t>
    </r>
    <r>
      <rPr>
        <b/>
        <sz val="12"/>
        <color rgb="FF525252"/>
        <rFont val="M PLUS 2"/>
      </rPr>
      <t>)</t>
    </r>
  </si>
  <si>
    <r>
      <t>Volume of Sample Dilution Buffer (uL)                         (</t>
    </r>
    <r>
      <rPr>
        <b/>
        <sz val="12"/>
        <color rgb="FF550088"/>
        <rFont val="M PLUS 2"/>
      </rPr>
      <t>Step 7</t>
    </r>
    <r>
      <rPr>
        <b/>
        <sz val="12"/>
        <color rgb="FF525252"/>
        <rFont val="M PLUS 2"/>
      </rPr>
      <t>)</t>
    </r>
  </si>
  <si>
    <t>Evercode WT Round 1 Barcoding Plate Configuration</t>
  </si>
  <si>
    <t>Use the following plate layout to load samples into the Round 1 Plate in Section 1.2.</t>
  </si>
  <si>
    <t>Notes:</t>
  </si>
  <si>
    <t>M SYM CB</t>
  </si>
  <si>
    <t>M SYM WB</t>
  </si>
  <si>
    <t>M SYM GILL</t>
  </si>
  <si>
    <t>M SYM TST</t>
  </si>
  <si>
    <t>M SYM SKIN</t>
  </si>
  <si>
    <t>F SYM CB</t>
  </si>
  <si>
    <t>F SYM WB</t>
  </si>
  <si>
    <t>F SYM GILL</t>
  </si>
  <si>
    <t>F SYM OVRY</t>
  </si>
  <si>
    <t>F SYM SKIN</t>
  </si>
  <si>
    <t>M APO CB</t>
  </si>
  <si>
    <t>M APO WB</t>
  </si>
  <si>
    <t>M APO GILL</t>
  </si>
  <si>
    <t>M APO TST</t>
  </si>
  <si>
    <t>M APO SKIN</t>
  </si>
  <si>
    <t>F APO CB</t>
  </si>
  <si>
    <t>F APO WB</t>
  </si>
  <si>
    <t>F APO GILL</t>
  </si>
  <si>
    <t>F APO OVRY</t>
  </si>
  <si>
    <t>F APO SKIN</t>
  </si>
  <si>
    <t>M SYM HCTS</t>
  </si>
  <si>
    <t>F SYM HCTS</t>
  </si>
  <si>
    <t>M APO HCTS</t>
  </si>
  <si>
    <t>F APO HCTS</t>
  </si>
  <si>
    <t>SYM CC</t>
  </si>
  <si>
    <t>APO CC</t>
  </si>
  <si>
    <t>M HCTS</t>
  </si>
  <si>
    <t>F HCTS</t>
  </si>
  <si>
    <t>M C7 Skin</t>
  </si>
  <si>
    <t>MC 8 Skin</t>
  </si>
  <si>
    <t>M C9 Skin</t>
  </si>
  <si>
    <t>M C12 Skin</t>
  </si>
  <si>
    <t>F E4 Skin</t>
  </si>
  <si>
    <t>F D3 Skin</t>
  </si>
  <si>
    <t>F E1 Skin</t>
  </si>
  <si>
    <t>F F1 Skin</t>
  </si>
  <si>
    <t>Concetrations are 10% losses - counts are in JB notebook #4
Day 1 done on 1/19/2026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</si>
</sst>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Source Sans Pro"/>
      <family val="2"/>
    </font>
    <font>
      <b/>
      <sz val="12"/>
      <color theme="1"/>
      <name val="Source Sans Pro"/>
      <family val="2"/>
    </font>
    <font>
      <sz val="12"/>
      <color theme="0"/>
      <name val="Source Sans Pro"/>
      <family val="2"/>
    </font>
    <font>
      <sz val="12"/>
      <name val="Source Sans Pro"/>
      <family val="2"/>
    </font>
    <font>
      <sz val="12"/>
      <color rgb="FF525252"/>
      <name val="M PLUS 2"/>
    </font>
    <font>
      <b/>
      <sz val="12"/>
      <color rgb="FF525252"/>
      <name val="M PLUS 2"/>
    </font>
    <font>
      <sz val="26"/>
      <color rgb="FF550088"/>
      <name val="M PLUS 2 Black"/>
    </font>
    <font>
      <sz val="12"/>
      <color theme="1"/>
      <name val="M PLUS 2"/>
    </font>
    <font>
      <sz val="12"/>
      <name val="M PLUS 2"/>
    </font>
    <font>
      <sz val="14"/>
      <color rgb="FF525252"/>
      <name val="M PLUS 2"/>
    </font>
    <font>
      <b/>
      <sz val="14"/>
      <color rgb="FF525252"/>
      <name val="M PLUS 2"/>
    </font>
    <font>
      <b/>
      <sz val="16"/>
      <color rgb="FFAB80C4"/>
      <name val="M PLUS 2"/>
    </font>
    <font>
      <sz val="12"/>
      <color rgb="FF550088"/>
      <name val="M PLUS 2"/>
    </font>
    <font>
      <sz val="12"/>
      <color rgb="FFB6007C"/>
      <name val="M PLUS 2"/>
    </font>
    <font>
      <b/>
      <sz val="12"/>
      <color rgb="FF550088"/>
      <name val="M PLUS 2"/>
    </font>
    <font>
      <b/>
      <sz val="12"/>
      <color theme="1"/>
      <name val="M PLUS 2"/>
    </font>
    <font>
      <sz val="20"/>
      <color theme="1"/>
      <name val="M PLUS 2"/>
    </font>
    <font>
      <sz val="12"/>
      <color rgb="FF525252"/>
      <name val="M PLUS 2 ExtraBold"/>
    </font>
    <font>
      <sz val="12"/>
      <color rgb="FF525252"/>
      <name val="M PLUS 2 Medium"/>
    </font>
    <font>
      <sz val="12"/>
      <color theme="1"/>
      <name val="M PLUS 2 Medium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525252"/>
      </left>
      <right/>
      <top style="thin">
        <color rgb="FF525252"/>
      </top>
      <bottom/>
      <diagonal/>
    </border>
    <border>
      <left/>
      <right/>
      <top style="thin">
        <color rgb="FF525252"/>
      </top>
      <bottom/>
      <diagonal/>
    </border>
    <border>
      <left/>
      <right style="thin">
        <color rgb="FF525252"/>
      </right>
      <top style="thin">
        <color rgb="FF525252"/>
      </top>
      <bottom/>
      <diagonal/>
    </border>
    <border>
      <left style="thin">
        <color rgb="FF525252"/>
      </left>
      <right/>
      <top/>
      <bottom/>
      <diagonal/>
    </border>
    <border>
      <left/>
      <right style="thin">
        <color rgb="FF525252"/>
      </right>
      <top/>
      <bottom/>
      <diagonal/>
    </border>
    <border>
      <left style="thin">
        <color rgb="FF525252"/>
      </left>
      <right/>
      <top/>
      <bottom style="thin">
        <color rgb="FF525252"/>
      </bottom>
      <diagonal/>
    </border>
    <border>
      <left/>
      <right/>
      <top/>
      <bottom style="thin">
        <color rgb="FF525252"/>
      </bottom>
      <diagonal/>
    </border>
    <border>
      <left/>
      <right style="thin">
        <color rgb="FF525252"/>
      </right>
      <top/>
      <bottom style="thin">
        <color rgb="FF52525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1" applyNumberFormat="1" applyFont="1" applyFill="1" applyBorder="1"/>
    <xf numFmtId="0" fontId="2" fillId="0" borderId="0" xfId="0" applyFont="1" applyAlignment="1">
      <alignment horizontal="center" vertical="center"/>
    </xf>
    <xf numFmtId="0" fontId="5" fillId="0" borderId="0" xfId="0" applyFont="1"/>
    <xf numFmtId="165" fontId="0" fillId="0" borderId="0" xfId="2" applyNumberFormat="1" applyFont="1"/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top"/>
    </xf>
    <xf numFmtId="0" fontId="12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0" fontId="9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0" fontId="7" fillId="0" borderId="0" xfId="0" applyFont="1"/>
    <xf numFmtId="0" fontId="9" fillId="0" borderId="1" xfId="0" applyFont="1" applyBorder="1"/>
    <xf numFmtId="164" fontId="9" fillId="0" borderId="1" xfId="1" applyNumberFormat="1" applyFont="1" applyFill="1" applyBorder="1"/>
    <xf numFmtId="0" fontId="3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10" fontId="6" fillId="0" borderId="1" xfId="2" applyNumberFormat="1" applyFont="1" applyFill="1" applyBorder="1" applyAlignment="1" applyProtection="1">
      <alignment horizontal="center"/>
    </xf>
    <xf numFmtId="164" fontId="6" fillId="0" borderId="1" xfId="1" applyNumberFormat="1" applyFont="1" applyFill="1" applyBorder="1" applyAlignment="1">
      <alignment horizontal="center"/>
    </xf>
    <xf numFmtId="164" fontId="6" fillId="0" borderId="1" xfId="1" applyNumberFormat="1" applyFont="1" applyFill="1" applyBorder="1" applyAlignment="1" applyProtection="1">
      <alignment horizontal="center"/>
    </xf>
    <xf numFmtId="0" fontId="8" fillId="0" borderId="0" xfId="0" applyFont="1"/>
    <xf numFmtId="0" fontId="18" fillId="0" borderId="0" xfId="0" applyFont="1"/>
    <xf numFmtId="0" fontId="13" fillId="0" borderId="0" xfId="0" applyFont="1" applyAlignment="1">
      <alignment vertical="center"/>
    </xf>
    <xf numFmtId="0" fontId="19" fillId="0" borderId="0" xfId="0" applyFont="1" applyAlignment="1">
      <alignment horizontal="center"/>
    </xf>
    <xf numFmtId="0" fontId="13" fillId="0" borderId="0" xfId="0" applyFont="1"/>
    <xf numFmtId="0" fontId="6" fillId="0" borderId="0" xfId="0" applyFont="1"/>
    <xf numFmtId="0" fontId="21" fillId="0" borderId="0" xfId="0" applyFont="1" applyAlignment="1">
      <alignment horizontal="center"/>
    </xf>
    <xf numFmtId="0" fontId="21" fillId="2" borderId="0" xfId="0" applyFont="1" applyFill="1" applyAlignment="1">
      <alignment horizontal="center"/>
    </xf>
    <xf numFmtId="10" fontId="7" fillId="0" borderId="0" xfId="2" applyNumberFormat="1" applyFont="1" applyAlignment="1">
      <alignment horizontal="center"/>
    </xf>
    <xf numFmtId="164" fontId="7" fillId="0" borderId="0" xfId="1" applyNumberFormat="1" applyFont="1" applyAlignment="1"/>
    <xf numFmtId="1" fontId="7" fillId="0" borderId="0" xfId="0" applyNumberFormat="1" applyFont="1"/>
    <xf numFmtId="0" fontId="6" fillId="3" borderId="1" xfId="0" applyFont="1" applyFill="1" applyBorder="1" applyAlignment="1">
      <alignment horizontal="center"/>
    </xf>
    <xf numFmtId="1" fontId="6" fillId="3" borderId="1" xfId="0" applyNumberFormat="1" applyFont="1" applyFill="1" applyBorder="1" applyAlignment="1">
      <alignment horizontal="center"/>
    </xf>
    <xf numFmtId="2" fontId="6" fillId="3" borderId="1" xfId="0" applyNumberFormat="1" applyFont="1" applyFill="1" applyBorder="1" applyAlignment="1">
      <alignment horizontal="center"/>
    </xf>
    <xf numFmtId="10" fontId="0" fillId="0" borderId="1" xfId="2" applyNumberFormat="1" applyFont="1" applyFill="1" applyBorder="1" applyAlignment="1" applyProtection="1">
      <alignment horizontal="center"/>
    </xf>
    <xf numFmtId="0" fontId="6" fillId="0" borderId="12" xfId="0" applyFont="1" applyBorder="1" applyAlignment="1">
      <alignment horizontal="left" vertical="top" wrapText="1"/>
    </xf>
    <xf numFmtId="0" fontId="6" fillId="0" borderId="13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/>
    </xf>
    <xf numFmtId="0" fontId="6" fillId="0" borderId="15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0" fontId="6" fillId="0" borderId="17" xfId="0" applyFont="1" applyBorder="1" applyAlignment="1">
      <alignment horizontal="left" vertical="top"/>
    </xf>
    <xf numFmtId="0" fontId="6" fillId="0" borderId="18" xfId="0" applyFont="1" applyBorder="1" applyAlignment="1">
      <alignment horizontal="left" vertical="top"/>
    </xf>
    <xf numFmtId="0" fontId="6" fillId="0" borderId="19" xfId="0" applyFont="1" applyBorder="1" applyAlignment="1">
      <alignment horizontal="left" vertical="top"/>
    </xf>
    <xf numFmtId="0" fontId="6" fillId="0" borderId="1" xfId="0" applyFont="1" applyBorder="1" applyAlignment="1">
      <alignment horizontal="left"/>
    </xf>
    <xf numFmtId="0" fontId="6" fillId="0" borderId="1" xfId="0" applyFont="1" applyBorder="1"/>
    <xf numFmtId="0" fontId="6" fillId="0" borderId="7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left" wrapText="1"/>
    </xf>
    <xf numFmtId="0" fontId="4" fillId="3" borderId="1" xfId="0" applyFont="1" applyFill="1" applyBorder="1" applyAlignment="1">
      <alignment horizontal="center"/>
    </xf>
    <xf numFmtId="0" fontId="6" fillId="0" borderId="2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0" fontId="6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7" fillId="0" borderId="1" xfId="0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/>
    </xf>
    <xf numFmtId="10" fontId="6" fillId="0" borderId="3" xfId="0" applyNumberFormat="1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6" fillId="0" borderId="11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47">
    <dxf>
      <font>
        <color theme="0"/>
      </font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color rgb="FF525252"/>
      </font>
      <fill>
        <patternFill>
          <bgColor rgb="FFF0CCE5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525252"/>
      </font>
      <fill>
        <patternFill>
          <bgColor rgb="FFF0CCE5"/>
        </patternFill>
      </fill>
    </dxf>
    <dxf>
      <font>
        <color rgb="FF525252"/>
      </font>
      <fill>
        <patternFill>
          <bgColor rgb="FFF0CCE5"/>
        </patternFill>
      </fill>
    </dxf>
    <dxf>
      <font>
        <b/>
        <i val="0"/>
        <color rgb="FFB6007C"/>
      </font>
    </dxf>
  </dxfs>
  <tableStyles count="0" defaultTableStyle="TableStyleMedium2" defaultPivotStyle="PivotStyleLight16"/>
  <colors>
    <mruColors>
      <color rgb="FFF0CCE5"/>
      <color rgb="FF525252"/>
      <color rgb="FFDB80BE"/>
      <color rgb="FFAB80C4"/>
      <color rgb="FFB6007C"/>
      <color rgb="FFAC3514"/>
      <color rgb="FF3FD9E1"/>
      <color rgb="FFDD3FA5"/>
      <color rgb="FF811A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7718</xdr:colOff>
      <xdr:row>9</xdr:row>
      <xdr:rowOff>8580</xdr:rowOff>
    </xdr:from>
    <xdr:to>
      <xdr:col>14</xdr:col>
      <xdr:colOff>7718</xdr:colOff>
      <xdr:row>17</xdr:row>
      <xdr:rowOff>11545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4E419FB-FE74-4FCF-96E3-8DC2775DC215}"/>
            </a:ext>
          </a:extLst>
        </xdr:cNvPr>
        <xdr:cNvSpPr/>
      </xdr:nvSpPr>
      <xdr:spPr>
        <a:xfrm>
          <a:off x="1701051" y="2471610"/>
          <a:ext cx="8081819" cy="1850238"/>
        </a:xfrm>
        <a:prstGeom prst="rect">
          <a:avLst/>
        </a:pr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>
    <pageSetUpPr fitToPage="1"/>
  </sheetPr>
  <dimension ref="A2:W138"/>
  <sheetViews>
    <sheetView showGridLines="0" showZeros="0" view="pageLayout" topLeftCell="A23" zoomScaleNormal="80" workbookViewId="0">
      <selection activeCell="A134" sqref="A134"/>
    </sheetView>
  </sheetViews>
  <sheetFormatPr baseColWidth="10" defaultColWidth="8.83203125" defaultRowHeight="15"/>
  <cols>
    <col min="1" max="1" width="12.83203125" style="1" customWidth="1"/>
    <col min="2" max="2" width="27" style="1" customWidth="1"/>
    <col min="3" max="3" width="20.83203125" style="1" customWidth="1"/>
    <col min="4" max="4" width="25" style="1" customWidth="1"/>
    <col min="5" max="5" width="12.83203125" style="1" customWidth="1"/>
    <col min="6" max="6" width="17.5" style="1" customWidth="1"/>
    <col min="7" max="8" width="22.83203125" style="1" customWidth="1"/>
    <col min="9" max="10" width="26.83203125" style="1" customWidth="1"/>
    <col min="11" max="11" width="28" style="1" customWidth="1"/>
    <col min="12" max="12" width="21.83203125" style="1" customWidth="1"/>
    <col min="13" max="16383" width="8.83203125" style="1" customWidth="1"/>
    <col min="16384" max="16384" width="4.1640625" style="1" customWidth="1"/>
  </cols>
  <sheetData>
    <row r="2" spans="1:23" s="10" customFormat="1" ht="33">
      <c r="A2" s="8" t="s">
        <v>16</v>
      </c>
      <c r="B2" s="9"/>
    </row>
    <row r="3" spans="1:23" s="10" customFormat="1" ht="16.75" customHeight="1">
      <c r="A3" s="11"/>
      <c r="B3" s="9"/>
    </row>
    <row r="4" spans="1:23" s="10" customFormat="1" ht="18">
      <c r="A4" s="11"/>
      <c r="B4" s="12" t="s">
        <v>17</v>
      </c>
    </row>
    <row r="5" spans="1:23" s="10" customFormat="1" ht="16.75" customHeight="1">
      <c r="A5" s="11"/>
      <c r="B5" s="13"/>
    </row>
    <row r="6" spans="1:23" s="10" customFormat="1" ht="16.75" customHeight="1">
      <c r="A6" s="9"/>
      <c r="B6" s="9"/>
    </row>
    <row r="7" spans="1:23" s="10" customFormat="1" ht="21">
      <c r="A7" s="14" t="s">
        <v>18</v>
      </c>
      <c r="B7" s="9"/>
    </row>
    <row r="8" spans="1:23" s="10" customFormat="1" ht="16.75" customHeight="1"/>
    <row r="9" spans="1:23" s="10" customFormat="1" ht="18">
      <c r="B9" s="15" t="s">
        <v>19</v>
      </c>
      <c r="C9" s="66" t="s">
        <v>20</v>
      </c>
      <c r="D9" s="66"/>
      <c r="E9" s="66"/>
      <c r="F9" s="66"/>
      <c r="G9" s="66"/>
      <c r="H9" s="66"/>
      <c r="I9" s="66"/>
    </row>
    <row r="10" spans="1:23" s="10" customFormat="1" ht="16">
      <c r="B10" s="16">
        <v>1</v>
      </c>
      <c r="C10" s="53" t="s">
        <v>21</v>
      </c>
      <c r="D10" s="53"/>
      <c r="E10" s="53"/>
      <c r="F10" s="53"/>
      <c r="G10" s="53"/>
      <c r="H10" s="53"/>
      <c r="I10" s="53"/>
    </row>
    <row r="11" spans="1:23" s="10" customFormat="1" ht="16">
      <c r="B11" s="16">
        <v>2</v>
      </c>
      <c r="C11" s="53" t="s">
        <v>22</v>
      </c>
      <c r="D11" s="53"/>
      <c r="E11" s="53"/>
      <c r="F11" s="53"/>
      <c r="G11" s="53"/>
      <c r="H11" s="53"/>
      <c r="I11" s="53"/>
    </row>
    <row r="12" spans="1:23" s="10" customFormat="1" ht="16">
      <c r="B12" s="16">
        <v>3</v>
      </c>
      <c r="C12" s="53" t="s">
        <v>29</v>
      </c>
      <c r="D12" s="53"/>
      <c r="E12" s="53"/>
      <c r="F12" s="53"/>
      <c r="G12" s="53"/>
      <c r="H12" s="53"/>
      <c r="I12" s="53"/>
    </row>
    <row r="13" spans="1:23" s="10" customFormat="1" ht="16">
      <c r="B13" s="16">
        <v>4</v>
      </c>
      <c r="C13" s="53" t="s">
        <v>23</v>
      </c>
      <c r="D13" s="53"/>
      <c r="E13" s="53"/>
      <c r="F13" s="53"/>
      <c r="G13" s="53"/>
      <c r="H13" s="53"/>
      <c r="I13" s="53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</row>
    <row r="14" spans="1:23" s="10" customFormat="1" ht="16">
      <c r="B14" s="16">
        <v>5</v>
      </c>
      <c r="C14" s="53" t="s">
        <v>28</v>
      </c>
      <c r="D14" s="53"/>
      <c r="E14" s="53"/>
      <c r="F14" s="53"/>
      <c r="G14" s="53"/>
      <c r="H14" s="53"/>
      <c r="I14" s="53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</row>
    <row r="15" spans="1:23" s="10" customFormat="1" ht="11" customHeight="1">
      <c r="B15" s="54" t="s">
        <v>30</v>
      </c>
      <c r="C15" s="55"/>
      <c r="D15" s="55"/>
      <c r="E15" s="55"/>
      <c r="F15" s="55"/>
      <c r="G15" s="55"/>
      <c r="H15" s="55"/>
      <c r="I15" s="56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</row>
    <row r="16" spans="1:23" s="10" customFormat="1" ht="14.5" customHeight="1">
      <c r="B16" s="57"/>
      <c r="C16" s="58"/>
      <c r="D16" s="58"/>
      <c r="E16" s="58"/>
      <c r="F16" s="58"/>
      <c r="G16" s="58"/>
      <c r="H16" s="58"/>
      <c r="I16" s="59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</row>
    <row r="17" spans="1:23" s="10" customFormat="1" ht="8" customHeight="1">
      <c r="B17" s="60"/>
      <c r="C17" s="61"/>
      <c r="D17" s="61"/>
      <c r="E17" s="61"/>
      <c r="F17" s="61"/>
      <c r="G17" s="61"/>
      <c r="H17" s="61"/>
      <c r="I17" s="62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</row>
    <row r="18" spans="1:23" s="10" customFormat="1" ht="16">
      <c r="B18" s="16">
        <v>6</v>
      </c>
      <c r="C18" s="65" t="s">
        <v>24</v>
      </c>
      <c r="D18" s="65"/>
      <c r="E18" s="65"/>
      <c r="F18" s="65"/>
      <c r="G18" s="65"/>
      <c r="H18" s="65"/>
      <c r="I18" s="65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</row>
    <row r="19" spans="1:23" s="10" customFormat="1" ht="16">
      <c r="B19" s="16">
        <v>7</v>
      </c>
      <c r="C19" s="52" t="s">
        <v>25</v>
      </c>
      <c r="D19" s="52"/>
      <c r="E19" s="52"/>
      <c r="F19" s="52"/>
      <c r="G19" s="52"/>
      <c r="H19" s="52"/>
      <c r="I19" s="52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</row>
    <row r="20" spans="1:23" s="10" customFormat="1" ht="42" customHeight="1">
      <c r="B20" s="16">
        <v>8</v>
      </c>
      <c r="C20" s="63" t="s">
        <v>26</v>
      </c>
      <c r="D20" s="63"/>
      <c r="E20" s="63"/>
      <c r="F20" s="63"/>
      <c r="G20" s="63"/>
      <c r="H20" s="63"/>
      <c r="I20" s="63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</row>
    <row r="21" spans="1:23" s="10" customFormat="1" ht="16"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</row>
    <row r="22" spans="1:23" s="10" customFormat="1" ht="16">
      <c r="F22" s="19" t="s">
        <v>27</v>
      </c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</row>
    <row r="23" spans="1:23" ht="16">
      <c r="A23" s="20" t="s">
        <v>31</v>
      </c>
      <c r="C23" s="21">
        <v>36</v>
      </c>
      <c r="F23" s="64">
        <f>IF(OR(NOT(AND(C125&gt;0.99,C125&lt;1.01)),COUNTIF(C27:C122,"&gt;0")&lt;&gt;C23,(COUNTIF(C27:C122,"&lt;0.010499"))),"WARNING:",0)</f>
        <v>0</v>
      </c>
      <c r="G23" s="64"/>
      <c r="H23" s="64"/>
      <c r="I23" s="64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</row>
    <row r="24" spans="1:23" ht="16">
      <c r="A24" s="20" t="s">
        <v>32</v>
      </c>
      <c r="C24" s="22">
        <v>1000000</v>
      </c>
      <c r="D24" s="4"/>
      <c r="F24" s="64">
        <f>IF(COUNTIF(C27:C122,"&gt;0")&lt;&gt;C23,"Number of input percentages does not match number of samples",IF((COUNTIF(C27:C122,"&lt;0.0104999")),"No individual percentage may be lower than 1.05%",IF(NOT(AND(C125&gt;0.99,C125&lt;1.01)),"Percentage Must Add to 100%",0)))</f>
        <v>0</v>
      </c>
      <c r="G24" s="64"/>
      <c r="H24" s="64"/>
      <c r="I24" s="6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1:23"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</row>
    <row r="26" spans="1:23" ht="51">
      <c r="A26" s="23" t="s">
        <v>13</v>
      </c>
      <c r="B26" s="24" t="s">
        <v>33</v>
      </c>
      <c r="C26" s="24" t="s">
        <v>34</v>
      </c>
      <c r="D26" s="24" t="s">
        <v>35</v>
      </c>
      <c r="E26" s="24" t="s">
        <v>36</v>
      </c>
      <c r="F26" s="24" t="s">
        <v>37</v>
      </c>
      <c r="G26" s="24" t="s">
        <v>38</v>
      </c>
      <c r="H26" s="24" t="s">
        <v>39</v>
      </c>
      <c r="I26" s="24" t="s">
        <v>40</v>
      </c>
      <c r="J26" s="24" t="s">
        <v>41</v>
      </c>
      <c r="K26" s="5"/>
    </row>
    <row r="27" spans="1:23" ht="16">
      <c r="A27" s="17">
        <v>1</v>
      </c>
      <c r="B27" s="16" t="s">
        <v>45</v>
      </c>
      <c r="C27" s="42">
        <v>2.7799999999999998E-2</v>
      </c>
      <c r="D27" s="26">
        <v>7515</v>
      </c>
      <c r="E27" s="16">
        <v>2</v>
      </c>
      <c r="F27" s="39">
        <f t="shared" ref="F27:F32" si="0">C27*$C$24</f>
        <v>27800</v>
      </c>
      <c r="G27" s="40">
        <f>IFERROR(F27/(235.2*(E27/48)),0)</f>
        <v>2836.7346938775513</v>
      </c>
      <c r="H27" s="40">
        <f t="shared" ref="H27:H32" si="1">(14*E27)*1.1</f>
        <v>30.800000000000004</v>
      </c>
      <c r="I27" s="41">
        <f>IFERROR(H27/(D27/G27),0)</f>
        <v>11.626271266989832</v>
      </c>
      <c r="J27" s="41">
        <f t="shared" ref="J27:J28" si="2">IF(I27=0,0,H27-I27)</f>
        <v>19.173728733010172</v>
      </c>
      <c r="K27" s="2" t="str">
        <f>IF(J27&lt;0,"CRITICAL: This cell stock concentration is too low.","")</f>
        <v/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3" ht="16">
      <c r="A28" s="17">
        <f t="shared" ref="A28:A31" si="3">IF(A27&gt;0,IF($C$23&gt;=(A27+1),(A27+1),0),0)</f>
        <v>2</v>
      </c>
      <c r="B28" s="16" t="s">
        <v>46</v>
      </c>
      <c r="C28" s="25">
        <v>2.7777777699999999E-2</v>
      </c>
      <c r="D28" s="27">
        <v>9117</v>
      </c>
      <c r="E28" s="16">
        <v>2</v>
      </c>
      <c r="F28" s="39">
        <f t="shared" si="0"/>
        <v>27777.777699999999</v>
      </c>
      <c r="G28" s="40">
        <f t="shared" ref="G28:G91" si="4">IFERROR(F28/(235.2*(E28/48)),0)</f>
        <v>2834.4671122448981</v>
      </c>
      <c r="H28" s="40">
        <f t="shared" si="1"/>
        <v>30.800000000000004</v>
      </c>
      <c r="I28" s="41">
        <f t="shared" ref="I28:I72" si="5">IFERROR(H28/(D28/G28),0)</f>
        <v>9.5756923392720044</v>
      </c>
      <c r="J28" s="41">
        <f t="shared" si="2"/>
        <v>21.224307660728002</v>
      </c>
      <c r="K28" s="2" t="str">
        <f t="shared" ref="K28:K91" si="6">IF(J28&lt;0,"CRITICAL: This cell stock concentration is too low.","")</f>
        <v/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</row>
    <row r="29" spans="1:23" ht="16">
      <c r="A29" s="17">
        <f t="shared" si="3"/>
        <v>3</v>
      </c>
      <c r="B29" s="16" t="s">
        <v>47</v>
      </c>
      <c r="C29" s="25">
        <v>2.7777777699999999E-2</v>
      </c>
      <c r="D29" s="27">
        <v>4833</v>
      </c>
      <c r="E29" s="16">
        <v>2</v>
      </c>
      <c r="F29" s="39">
        <f t="shared" si="0"/>
        <v>27777.777699999999</v>
      </c>
      <c r="G29" s="40">
        <f t="shared" si="4"/>
        <v>2834.4671122448981</v>
      </c>
      <c r="H29" s="40">
        <f t="shared" si="1"/>
        <v>30.800000000000004</v>
      </c>
      <c r="I29" s="41">
        <f t="shared" si="5"/>
        <v>18.063643090656502</v>
      </c>
      <c r="J29" s="41">
        <f>IF(I29=0,0,H29-I29)</f>
        <v>12.736356909343503</v>
      </c>
      <c r="K29" s="2" t="str">
        <f t="shared" si="6"/>
        <v/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</row>
    <row r="30" spans="1:23" ht="16">
      <c r="A30" s="17">
        <f t="shared" si="3"/>
        <v>4</v>
      </c>
      <c r="B30" s="16" t="s">
        <v>48</v>
      </c>
      <c r="C30" s="25">
        <v>2.7777777699999999E-2</v>
      </c>
      <c r="D30" s="27">
        <v>11079</v>
      </c>
      <c r="E30" s="16">
        <v>2</v>
      </c>
      <c r="F30" s="39">
        <f t="shared" si="0"/>
        <v>27777.777699999999</v>
      </c>
      <c r="G30" s="40">
        <f t="shared" si="4"/>
        <v>2834.4671122448981</v>
      </c>
      <c r="H30" s="40">
        <f t="shared" si="1"/>
        <v>30.800000000000004</v>
      </c>
      <c r="I30" s="41">
        <f t="shared" si="5"/>
        <v>7.879915791781106</v>
      </c>
      <c r="J30" s="41">
        <f t="shared" ref="J30:J72" si="7">IF(I30=0,0,H30-I30)</f>
        <v>22.920084208218899</v>
      </c>
      <c r="K30" s="2" t="str">
        <f t="shared" si="6"/>
        <v/>
      </c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</row>
    <row r="31" spans="1:23" ht="16">
      <c r="A31" s="17">
        <f t="shared" si="3"/>
        <v>5</v>
      </c>
      <c r="B31" s="16" t="s">
        <v>49</v>
      </c>
      <c r="C31" s="25">
        <v>2.7777777699999999E-2</v>
      </c>
      <c r="D31" s="27">
        <v>2588</v>
      </c>
      <c r="E31" s="16">
        <f>IF(A31&lt;=ReferenceTable!$H$1,ROUNDUP(C31*96,0),ROUNDDOWN(C31*96,0))</f>
        <v>3</v>
      </c>
      <c r="F31" s="39">
        <f t="shared" si="0"/>
        <v>27777.777699999999</v>
      </c>
      <c r="G31" s="40">
        <f t="shared" si="4"/>
        <v>1889.6447414965987</v>
      </c>
      <c r="H31" s="40">
        <f t="shared" si="1"/>
        <v>46.2</v>
      </c>
      <c r="I31" s="41">
        <f t="shared" si="5"/>
        <v>33.733225292559069</v>
      </c>
      <c r="J31" s="41">
        <f t="shared" si="7"/>
        <v>12.466774707440933</v>
      </c>
      <c r="K31" s="2" t="str">
        <f t="shared" si="6"/>
        <v/>
      </c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32" spans="1:23" ht="16">
      <c r="A32" s="17">
        <f t="shared" ref="A32:A122" si="8">IF(A31&gt;0,IF($C$23&gt;=(A31+1),(A31+1),0),0)</f>
        <v>6</v>
      </c>
      <c r="B32" s="16" t="s">
        <v>50</v>
      </c>
      <c r="C32" s="25">
        <v>2.7777777699999999E-2</v>
      </c>
      <c r="D32" s="26">
        <v>3483</v>
      </c>
      <c r="E32" s="16">
        <f>IF(A32&lt;=ReferenceTable!$H$1,ROUNDUP(C32*96,0),ROUNDDOWN(C32*96,0))</f>
        <v>3</v>
      </c>
      <c r="F32" s="39">
        <f t="shared" si="0"/>
        <v>27777.777699999999</v>
      </c>
      <c r="G32" s="40">
        <f t="shared" si="4"/>
        <v>1889.6447414965987</v>
      </c>
      <c r="H32" s="40">
        <f t="shared" si="1"/>
        <v>46.2</v>
      </c>
      <c r="I32" s="41">
        <f t="shared" si="5"/>
        <v>25.065055141298554</v>
      </c>
      <c r="J32" s="41">
        <f t="shared" si="7"/>
        <v>21.134944858701449</v>
      </c>
      <c r="K32" s="2" t="str">
        <f t="shared" si="6"/>
        <v/>
      </c>
    </row>
    <row r="33" spans="1:11" ht="16">
      <c r="A33" s="17">
        <f t="shared" si="8"/>
        <v>7</v>
      </c>
      <c r="B33" s="16" t="s">
        <v>51</v>
      </c>
      <c r="C33" s="25">
        <v>2.7777777699999999E-2</v>
      </c>
      <c r="D33" s="26">
        <v>3357</v>
      </c>
      <c r="E33" s="16">
        <f>IF(A33&lt;=ReferenceTable!$H$1,ROUNDUP(C33*96,0),ROUNDDOWN(C33*96,0))</f>
        <v>3</v>
      </c>
      <c r="F33" s="39">
        <f t="shared" ref="F33:F72" si="9">C33*$C$24</f>
        <v>27777.777699999999</v>
      </c>
      <c r="G33" s="40">
        <f t="shared" si="4"/>
        <v>1889.6447414965987</v>
      </c>
      <c r="H33" s="40">
        <f t="shared" ref="H33:H72" si="10">(14*E33)*1.1</f>
        <v>46.2</v>
      </c>
      <c r="I33" s="41">
        <f t="shared" si="5"/>
        <v>26.005834690837908</v>
      </c>
      <c r="J33" s="41">
        <f t="shared" si="7"/>
        <v>20.194165309162095</v>
      </c>
      <c r="K33" s="2" t="str">
        <f t="shared" si="6"/>
        <v/>
      </c>
    </row>
    <row r="34" spans="1:11" ht="16">
      <c r="A34" s="17">
        <f t="shared" si="8"/>
        <v>8</v>
      </c>
      <c r="B34" s="16" t="s">
        <v>52</v>
      </c>
      <c r="C34" s="25">
        <v>2.7777777699999999E-2</v>
      </c>
      <c r="D34" s="26">
        <v>4581</v>
      </c>
      <c r="E34" s="16">
        <f>IF(A34&lt;=ReferenceTable!$H$1,ROUNDUP(C34*96,0),ROUNDDOWN(C34*96,0))</f>
        <v>3</v>
      </c>
      <c r="F34" s="39">
        <f t="shared" si="9"/>
        <v>27777.777699999999</v>
      </c>
      <c r="G34" s="40">
        <f t="shared" si="4"/>
        <v>1889.6447414965987</v>
      </c>
      <c r="H34" s="40">
        <f t="shared" si="10"/>
        <v>46.2</v>
      </c>
      <c r="I34" s="41">
        <f t="shared" si="5"/>
        <v>19.057320903109119</v>
      </c>
      <c r="J34" s="41">
        <f t="shared" si="7"/>
        <v>27.142679096890884</v>
      </c>
      <c r="K34" s="2" t="str">
        <f t="shared" si="6"/>
        <v/>
      </c>
    </row>
    <row r="35" spans="1:11" ht="16">
      <c r="A35" s="17">
        <f t="shared" si="8"/>
        <v>9</v>
      </c>
      <c r="B35" s="16" t="s">
        <v>53</v>
      </c>
      <c r="C35" s="25">
        <v>2.7777777699999999E-2</v>
      </c>
      <c r="D35" s="26">
        <v>2682</v>
      </c>
      <c r="E35" s="16">
        <f>IF(A35&lt;=ReferenceTable!$H$1,ROUNDUP(C35*96,0),ROUNDDOWN(C35*96,0))</f>
        <v>3</v>
      </c>
      <c r="F35" s="39">
        <f t="shared" si="9"/>
        <v>27777.777699999999</v>
      </c>
      <c r="G35" s="40">
        <f t="shared" si="4"/>
        <v>1889.6447414965987</v>
      </c>
      <c r="H35" s="40">
        <f t="shared" si="10"/>
        <v>46.2</v>
      </c>
      <c r="I35" s="41">
        <f t="shared" si="5"/>
        <v>32.550927314370938</v>
      </c>
      <c r="J35" s="41">
        <f t="shared" si="7"/>
        <v>13.649072685629065</v>
      </c>
      <c r="K35" s="2" t="str">
        <f t="shared" si="6"/>
        <v/>
      </c>
    </row>
    <row r="36" spans="1:11" ht="16">
      <c r="A36" s="17">
        <f t="shared" si="8"/>
        <v>10</v>
      </c>
      <c r="B36" s="16" t="s">
        <v>54</v>
      </c>
      <c r="C36" s="25">
        <v>2.7777777699999999E-2</v>
      </c>
      <c r="D36" s="26">
        <v>2628</v>
      </c>
      <c r="E36" s="16">
        <f>IF(A36&lt;=ReferenceTable!$H$1,ROUNDUP(C36*96,0),ROUNDDOWN(C36*96,0))</f>
        <v>3</v>
      </c>
      <c r="F36" s="39">
        <f t="shared" si="9"/>
        <v>27777.777699999999</v>
      </c>
      <c r="G36" s="40">
        <f t="shared" si="4"/>
        <v>1889.6447414965987</v>
      </c>
      <c r="H36" s="40">
        <f t="shared" si="10"/>
        <v>46.2</v>
      </c>
      <c r="I36" s="41">
        <f t="shared" si="5"/>
        <v>33.219781985214176</v>
      </c>
      <c r="J36" s="41">
        <f t="shared" si="7"/>
        <v>12.980218014785827</v>
      </c>
      <c r="K36" s="2" t="str">
        <f t="shared" si="6"/>
        <v/>
      </c>
    </row>
    <row r="37" spans="1:11" ht="16">
      <c r="A37" s="17">
        <f t="shared" si="8"/>
        <v>11</v>
      </c>
      <c r="B37" s="16" t="s">
        <v>55</v>
      </c>
      <c r="C37" s="25">
        <v>2.7777777699999999E-2</v>
      </c>
      <c r="D37" s="26">
        <v>6777</v>
      </c>
      <c r="E37" s="16">
        <v>2</v>
      </c>
      <c r="F37" s="39">
        <f t="shared" si="9"/>
        <v>27777.777699999999</v>
      </c>
      <c r="G37" s="40">
        <f t="shared" si="4"/>
        <v>2834.4671122448981</v>
      </c>
      <c r="H37" s="40">
        <f t="shared" si="10"/>
        <v>30.800000000000004</v>
      </c>
      <c r="I37" s="41">
        <f t="shared" si="5"/>
        <v>12.882040291743083</v>
      </c>
      <c r="J37" s="41">
        <f t="shared" si="7"/>
        <v>17.917959708256923</v>
      </c>
      <c r="K37" s="2" t="str">
        <f t="shared" si="6"/>
        <v/>
      </c>
    </row>
    <row r="38" spans="1:11" ht="16">
      <c r="A38" s="17">
        <f t="shared" si="8"/>
        <v>12</v>
      </c>
      <c r="B38" s="16" t="s">
        <v>56</v>
      </c>
      <c r="C38" s="25">
        <v>2.7777777699999999E-2</v>
      </c>
      <c r="D38" s="26">
        <v>3816</v>
      </c>
      <c r="E38" s="16">
        <f>IF(A38&lt;=ReferenceTable!$H$1,ROUNDUP(C38*96,0),ROUNDDOWN(C38*96,0))</f>
        <v>3</v>
      </c>
      <c r="F38" s="39">
        <f t="shared" si="9"/>
        <v>27777.777699999999</v>
      </c>
      <c r="G38" s="40">
        <f t="shared" si="4"/>
        <v>1889.6447414965987</v>
      </c>
      <c r="H38" s="40">
        <f t="shared" si="10"/>
        <v>46.2</v>
      </c>
      <c r="I38" s="41">
        <f t="shared" si="5"/>
        <v>22.877774386043729</v>
      </c>
      <c r="J38" s="41">
        <f t="shared" si="7"/>
        <v>23.322225613956274</v>
      </c>
      <c r="K38" s="2" t="str">
        <f t="shared" si="6"/>
        <v/>
      </c>
    </row>
    <row r="39" spans="1:11" ht="16">
      <c r="A39" s="17">
        <f t="shared" si="8"/>
        <v>13</v>
      </c>
      <c r="B39" s="16" t="s">
        <v>57</v>
      </c>
      <c r="C39" s="25">
        <v>2.7777777699999999E-2</v>
      </c>
      <c r="D39" s="26">
        <v>3384</v>
      </c>
      <c r="E39" s="16">
        <f>IF(A39&lt;=ReferenceTable!$H$1,ROUNDUP(C39*96,0),ROUNDDOWN(C39*96,0))</f>
        <v>3</v>
      </c>
      <c r="F39" s="39">
        <f t="shared" si="9"/>
        <v>27777.777699999999</v>
      </c>
      <c r="G39" s="40">
        <f t="shared" si="4"/>
        <v>1889.6447414965987</v>
      </c>
      <c r="H39" s="40">
        <f t="shared" si="10"/>
        <v>46.2</v>
      </c>
      <c r="I39" s="41">
        <f t="shared" si="5"/>
        <v>25.798341328942929</v>
      </c>
      <c r="J39" s="41">
        <f t="shared" si="7"/>
        <v>20.401658671057074</v>
      </c>
      <c r="K39" s="2" t="str">
        <f t="shared" si="6"/>
        <v/>
      </c>
    </row>
    <row r="40" spans="1:11" ht="16">
      <c r="A40" s="17">
        <f t="shared" si="8"/>
        <v>14</v>
      </c>
      <c r="B40" s="16" t="s">
        <v>58</v>
      </c>
      <c r="C40" s="25">
        <v>2.7777777699999999E-2</v>
      </c>
      <c r="D40" s="26">
        <v>7002</v>
      </c>
      <c r="E40" s="16">
        <v>2</v>
      </c>
      <c r="F40" s="39">
        <f t="shared" si="9"/>
        <v>27777.777699999999</v>
      </c>
      <c r="G40" s="40">
        <f t="shared" si="4"/>
        <v>2834.4671122448981</v>
      </c>
      <c r="H40" s="40">
        <f t="shared" si="10"/>
        <v>30.800000000000004</v>
      </c>
      <c r="I40" s="41">
        <f t="shared" si="5"/>
        <v>12.468092981597097</v>
      </c>
      <c r="J40" s="41">
        <f t="shared" si="7"/>
        <v>18.331907018402909</v>
      </c>
      <c r="K40" s="2" t="str">
        <f t="shared" si="6"/>
        <v/>
      </c>
    </row>
    <row r="41" spans="1:11" ht="16">
      <c r="A41" s="17">
        <f t="shared" si="8"/>
        <v>15</v>
      </c>
      <c r="B41" s="16" t="s">
        <v>59</v>
      </c>
      <c r="C41" s="25">
        <v>2.7777777699999999E-2</v>
      </c>
      <c r="D41" s="26">
        <v>2840</v>
      </c>
      <c r="E41" s="16">
        <f>IF(A41&lt;=ReferenceTable!$H$1,ROUNDUP(C41*96,0),ROUNDDOWN(C41*96,0))</f>
        <v>3</v>
      </c>
      <c r="F41" s="39">
        <f t="shared" si="9"/>
        <v>27777.777699999999</v>
      </c>
      <c r="G41" s="40">
        <f t="shared" si="4"/>
        <v>1889.6447414965987</v>
      </c>
      <c r="H41" s="40">
        <f t="shared" si="10"/>
        <v>46.2</v>
      </c>
      <c r="I41" s="41">
        <f t="shared" si="5"/>
        <v>30.739995442655939</v>
      </c>
      <c r="J41" s="41">
        <f t="shared" si="7"/>
        <v>15.460004557344064</v>
      </c>
      <c r="K41" s="2" t="str">
        <f t="shared" si="6"/>
        <v/>
      </c>
    </row>
    <row r="42" spans="1:11" ht="16">
      <c r="A42" s="17">
        <f t="shared" si="8"/>
        <v>16</v>
      </c>
      <c r="B42" s="16" t="s">
        <v>60</v>
      </c>
      <c r="C42" s="25">
        <v>2.7777777699999999E-2</v>
      </c>
      <c r="D42" s="26">
        <v>5373</v>
      </c>
      <c r="E42" s="16">
        <v>2</v>
      </c>
      <c r="F42" s="39">
        <f t="shared" si="9"/>
        <v>27777.777699999999</v>
      </c>
      <c r="G42" s="40">
        <f t="shared" si="4"/>
        <v>2834.4671122448981</v>
      </c>
      <c r="H42" s="40">
        <f t="shared" si="10"/>
        <v>30.800000000000004</v>
      </c>
      <c r="I42" s="41">
        <f t="shared" si="5"/>
        <v>16.248201574007606</v>
      </c>
      <c r="J42" s="41">
        <f t="shared" si="7"/>
        <v>14.551798425992398</v>
      </c>
      <c r="K42" s="2" t="str">
        <f t="shared" si="6"/>
        <v/>
      </c>
    </row>
    <row r="43" spans="1:11" ht="16">
      <c r="A43" s="17">
        <f t="shared" si="8"/>
        <v>17</v>
      </c>
      <c r="B43" s="16" t="s">
        <v>61</v>
      </c>
      <c r="C43" s="25">
        <v>2.7777777699999999E-2</v>
      </c>
      <c r="D43" s="26">
        <v>1944</v>
      </c>
      <c r="E43" s="16">
        <f>IF(A43&lt;=ReferenceTable!$H$1,ROUNDUP(C43*96,0),ROUNDDOWN(C43*96,0))</f>
        <v>3</v>
      </c>
      <c r="F43" s="39">
        <f t="shared" si="9"/>
        <v>27777.777699999999</v>
      </c>
      <c r="G43" s="40">
        <f t="shared" si="4"/>
        <v>1889.6447414965987</v>
      </c>
      <c r="H43" s="40">
        <f t="shared" si="10"/>
        <v>46.2</v>
      </c>
      <c r="I43" s="41">
        <f t="shared" si="5"/>
        <v>44.908223794826576</v>
      </c>
      <c r="J43" s="41">
        <f t="shared" si="7"/>
        <v>1.2917762051734272</v>
      </c>
      <c r="K43" s="2" t="str">
        <f t="shared" si="6"/>
        <v/>
      </c>
    </row>
    <row r="44" spans="1:11" ht="16">
      <c r="A44" s="17">
        <f t="shared" si="8"/>
        <v>18</v>
      </c>
      <c r="B44" s="16" t="s">
        <v>62</v>
      </c>
      <c r="C44" s="25">
        <v>2.7777777699999999E-2</v>
      </c>
      <c r="D44" s="26">
        <v>4401</v>
      </c>
      <c r="E44" s="16">
        <f>IF(A44&lt;=ReferenceTable!$H$1,ROUNDUP(C44*96,0),ROUNDDOWN(C44*96,0))</f>
        <v>3</v>
      </c>
      <c r="F44" s="39">
        <f t="shared" si="9"/>
        <v>27777.777699999999</v>
      </c>
      <c r="G44" s="40">
        <f t="shared" si="4"/>
        <v>1889.6447414965987</v>
      </c>
      <c r="H44" s="40">
        <f t="shared" si="10"/>
        <v>46.2</v>
      </c>
      <c r="I44" s="41">
        <f t="shared" si="5"/>
        <v>19.836761430843641</v>
      </c>
      <c r="J44" s="41">
        <f t="shared" si="7"/>
        <v>26.363238569156362</v>
      </c>
      <c r="K44" s="2" t="str">
        <f t="shared" si="6"/>
        <v/>
      </c>
    </row>
    <row r="45" spans="1:11" ht="16">
      <c r="A45" s="17">
        <f t="shared" si="8"/>
        <v>19</v>
      </c>
      <c r="B45" s="16" t="s">
        <v>63</v>
      </c>
      <c r="C45" s="25">
        <v>2.7777777699999999E-2</v>
      </c>
      <c r="D45" s="26">
        <v>2196</v>
      </c>
      <c r="E45" s="16">
        <f>IF(A45&lt;=ReferenceTable!$H$1,ROUNDUP(C45*96,0),ROUNDDOWN(C45*96,0))</f>
        <v>3</v>
      </c>
      <c r="F45" s="39">
        <f t="shared" si="9"/>
        <v>27777.777699999999</v>
      </c>
      <c r="G45" s="40">
        <f t="shared" si="4"/>
        <v>1889.6447414965987</v>
      </c>
      <c r="H45" s="40">
        <f t="shared" si="10"/>
        <v>46.2</v>
      </c>
      <c r="I45" s="41">
        <f t="shared" si="5"/>
        <v>39.754821064272704</v>
      </c>
      <c r="J45" s="41">
        <f t="shared" si="7"/>
        <v>6.4451789357272986</v>
      </c>
      <c r="K45" s="2" t="str">
        <f t="shared" si="6"/>
        <v/>
      </c>
    </row>
    <row r="46" spans="1:11" ht="16">
      <c r="A46" s="17">
        <f t="shared" si="8"/>
        <v>20</v>
      </c>
      <c r="B46" s="16" t="s">
        <v>64</v>
      </c>
      <c r="C46" s="25">
        <v>2.7777777699999999E-2</v>
      </c>
      <c r="D46" s="26">
        <v>3726</v>
      </c>
      <c r="E46" s="16">
        <f>IF(A46&lt;=ReferenceTable!$H$1,ROUNDUP(C46*96,0),ROUNDDOWN(C46*96,0))</f>
        <v>3</v>
      </c>
      <c r="F46" s="39">
        <f t="shared" si="9"/>
        <v>27777.777699999999</v>
      </c>
      <c r="G46" s="40">
        <f t="shared" si="4"/>
        <v>1889.6447414965987</v>
      </c>
      <c r="H46" s="40">
        <f t="shared" si="10"/>
        <v>46.2</v>
      </c>
      <c r="I46" s="41">
        <f t="shared" si="5"/>
        <v>23.430377632083431</v>
      </c>
      <c r="J46" s="41">
        <f t="shared" si="7"/>
        <v>22.769622367916572</v>
      </c>
      <c r="K46" s="2" t="str">
        <f t="shared" si="6"/>
        <v/>
      </c>
    </row>
    <row r="47" spans="1:11" ht="16">
      <c r="A47" s="17">
        <f t="shared" si="8"/>
        <v>21</v>
      </c>
      <c r="B47" s="16" t="s">
        <v>65</v>
      </c>
      <c r="C47" s="25">
        <v>2.7777777699999999E-2</v>
      </c>
      <c r="D47" s="26">
        <v>7056</v>
      </c>
      <c r="E47" s="16">
        <v>2</v>
      </c>
      <c r="F47" s="39">
        <f t="shared" si="9"/>
        <v>27777.777699999999</v>
      </c>
      <c r="G47" s="40">
        <f t="shared" si="4"/>
        <v>2834.4671122448981</v>
      </c>
      <c r="H47" s="40">
        <f t="shared" si="10"/>
        <v>30.800000000000004</v>
      </c>
      <c r="I47" s="41">
        <f t="shared" si="5"/>
        <v>12.372673902656302</v>
      </c>
      <c r="J47" s="41">
        <f t="shared" si="7"/>
        <v>18.427326097343702</v>
      </c>
      <c r="K47" s="2" t="str">
        <f t="shared" si="6"/>
        <v/>
      </c>
    </row>
    <row r="48" spans="1:11" ht="16">
      <c r="A48" s="17">
        <f t="shared" si="8"/>
        <v>22</v>
      </c>
      <c r="B48" s="16" t="s">
        <v>66</v>
      </c>
      <c r="C48" s="25">
        <v>2.7777777699999999E-2</v>
      </c>
      <c r="D48" s="26">
        <v>6525</v>
      </c>
      <c r="E48" s="16">
        <v>2</v>
      </c>
      <c r="F48" s="39">
        <f t="shared" si="9"/>
        <v>27777.777699999999</v>
      </c>
      <c r="G48" s="40">
        <f t="shared" si="4"/>
        <v>2834.4671122448981</v>
      </c>
      <c r="H48" s="40">
        <f t="shared" si="10"/>
        <v>30.800000000000004</v>
      </c>
      <c r="I48" s="41">
        <f t="shared" si="5"/>
        <v>13.37955357197592</v>
      </c>
      <c r="J48" s="41">
        <f t="shared" si="7"/>
        <v>17.420446428024086</v>
      </c>
      <c r="K48" s="2" t="str">
        <f t="shared" si="6"/>
        <v/>
      </c>
    </row>
    <row r="49" spans="1:11" ht="16">
      <c r="A49" s="17">
        <f t="shared" si="8"/>
        <v>23</v>
      </c>
      <c r="B49" s="16" t="s">
        <v>67</v>
      </c>
      <c r="C49" s="25">
        <v>2.7777777699999999E-2</v>
      </c>
      <c r="D49" s="26">
        <v>6651</v>
      </c>
      <c r="E49" s="16">
        <v>2</v>
      </c>
      <c r="F49" s="39">
        <f t="shared" si="9"/>
        <v>27777.777699999999</v>
      </c>
      <c r="G49" s="40">
        <f t="shared" si="4"/>
        <v>2834.4671122448981</v>
      </c>
      <c r="H49" s="40">
        <f t="shared" si="10"/>
        <v>30.800000000000004</v>
      </c>
      <c r="I49" s="41">
        <f t="shared" si="5"/>
        <v>13.126084356809933</v>
      </c>
      <c r="J49" s="41">
        <f t="shared" si="7"/>
        <v>17.673915643190071</v>
      </c>
      <c r="K49" s="2" t="str">
        <f t="shared" si="6"/>
        <v/>
      </c>
    </row>
    <row r="50" spans="1:11" ht="16">
      <c r="A50" s="17">
        <f t="shared" si="8"/>
        <v>24</v>
      </c>
      <c r="B50" s="16" t="s">
        <v>68</v>
      </c>
      <c r="C50" s="25">
        <v>2.7777777699999999E-2</v>
      </c>
      <c r="D50" s="26">
        <v>4824</v>
      </c>
      <c r="E50" s="16">
        <v>2</v>
      </c>
      <c r="F50" s="39">
        <f t="shared" si="9"/>
        <v>27777.777699999999</v>
      </c>
      <c r="G50" s="40">
        <f t="shared" si="4"/>
        <v>2834.4671122448981</v>
      </c>
      <c r="H50" s="40">
        <f t="shared" si="10"/>
        <v>30.800000000000004</v>
      </c>
      <c r="I50" s="41">
        <f t="shared" si="5"/>
        <v>18.097343917318174</v>
      </c>
      <c r="J50" s="41">
        <f t="shared" si="7"/>
        <v>12.70265608268183</v>
      </c>
      <c r="K50" s="2" t="str">
        <f t="shared" si="6"/>
        <v/>
      </c>
    </row>
    <row r="51" spans="1:11" ht="16">
      <c r="A51" s="17">
        <f t="shared" si="8"/>
        <v>25</v>
      </c>
      <c r="B51" s="16" t="s">
        <v>69</v>
      </c>
      <c r="C51" s="25">
        <v>2.7777777699999999E-2</v>
      </c>
      <c r="D51" s="26">
        <v>3002</v>
      </c>
      <c r="E51" s="16">
        <f>IF(A51&lt;=ReferenceTable!$H$1,ROUNDUP(C51*96,0),ROUNDDOWN(C51*96,0))</f>
        <v>2</v>
      </c>
      <c r="F51" s="39">
        <f t="shared" si="9"/>
        <v>27777.777699999999</v>
      </c>
      <c r="G51" s="40">
        <f t="shared" si="4"/>
        <v>2834.4671122448981</v>
      </c>
      <c r="H51" s="40">
        <f t="shared" si="10"/>
        <v>30.800000000000004</v>
      </c>
      <c r="I51" s="41">
        <f t="shared" si="5"/>
        <v>29.081141591320076</v>
      </c>
      <c r="J51" s="41">
        <f t="shared" si="7"/>
        <v>1.7188584086799281</v>
      </c>
      <c r="K51" s="2" t="str">
        <f t="shared" si="6"/>
        <v/>
      </c>
    </row>
    <row r="52" spans="1:11" ht="16">
      <c r="A52" s="17">
        <f t="shared" si="8"/>
        <v>26</v>
      </c>
      <c r="B52" s="16" t="s">
        <v>70</v>
      </c>
      <c r="C52" s="25">
        <v>2.7777777699999999E-2</v>
      </c>
      <c r="D52" s="26">
        <v>2084</v>
      </c>
      <c r="E52" s="16">
        <v>3</v>
      </c>
      <c r="F52" s="39">
        <f t="shared" si="9"/>
        <v>27777.777699999999</v>
      </c>
      <c r="G52" s="40">
        <f t="shared" si="4"/>
        <v>1889.6447414965987</v>
      </c>
      <c r="H52" s="40">
        <f t="shared" si="10"/>
        <v>46.2</v>
      </c>
      <c r="I52" s="41">
        <f t="shared" si="5"/>
        <v>41.891356553331505</v>
      </c>
      <c r="J52" s="41">
        <f t="shared" si="7"/>
        <v>4.3086434466684977</v>
      </c>
      <c r="K52" s="2" t="str">
        <f t="shared" si="6"/>
        <v/>
      </c>
    </row>
    <row r="53" spans="1:11" ht="16">
      <c r="A53" s="17">
        <f t="shared" si="8"/>
        <v>27</v>
      </c>
      <c r="B53" s="16" t="s">
        <v>71</v>
      </c>
      <c r="C53" s="25">
        <v>2.7777777699999999E-2</v>
      </c>
      <c r="D53" s="26">
        <v>8703</v>
      </c>
      <c r="E53" s="16">
        <f>IF(A53&lt;=ReferenceTable!$H$1,ROUNDUP(C53*96,0),ROUNDDOWN(C53*96,0))</f>
        <v>2</v>
      </c>
      <c r="F53" s="39">
        <f t="shared" si="9"/>
        <v>27777.777699999999</v>
      </c>
      <c r="G53" s="40">
        <f t="shared" si="4"/>
        <v>2834.4671122448981</v>
      </c>
      <c r="H53" s="40">
        <f t="shared" si="10"/>
        <v>30.800000000000004</v>
      </c>
      <c r="I53" s="41">
        <f t="shared" si="5"/>
        <v>10.031206142381119</v>
      </c>
      <c r="J53" s="41">
        <f t="shared" si="7"/>
        <v>20.768793857618885</v>
      </c>
      <c r="K53" s="2" t="str">
        <f t="shared" si="6"/>
        <v/>
      </c>
    </row>
    <row r="54" spans="1:11" ht="16">
      <c r="A54" s="17">
        <f t="shared" si="8"/>
        <v>28</v>
      </c>
      <c r="B54" s="16" t="s">
        <v>72</v>
      </c>
      <c r="C54" s="25">
        <v>2.7777777699999999E-2</v>
      </c>
      <c r="D54" s="26">
        <v>8352</v>
      </c>
      <c r="E54" s="16">
        <f>IF(A54&lt;=ReferenceTable!$H$1,ROUNDUP(C54*96,0),ROUNDDOWN(C54*96,0))</f>
        <v>2</v>
      </c>
      <c r="F54" s="39">
        <f t="shared" si="9"/>
        <v>27777.777699999999</v>
      </c>
      <c r="G54" s="40">
        <f t="shared" si="4"/>
        <v>2834.4671122448981</v>
      </c>
      <c r="H54" s="40">
        <f t="shared" si="10"/>
        <v>30.800000000000004</v>
      </c>
      <c r="I54" s="41">
        <f t="shared" si="5"/>
        <v>10.452776228106186</v>
      </c>
      <c r="J54" s="41">
        <f t="shared" si="7"/>
        <v>20.347223771893816</v>
      </c>
      <c r="K54" s="2" t="str">
        <f t="shared" si="6"/>
        <v/>
      </c>
    </row>
    <row r="55" spans="1:11" ht="16">
      <c r="A55" s="17">
        <f t="shared" si="8"/>
        <v>29</v>
      </c>
      <c r="B55" s="16" t="s">
        <v>73</v>
      </c>
      <c r="C55" s="25">
        <v>1.6500000000000001E-2</v>
      </c>
      <c r="D55" s="26">
        <v>1040</v>
      </c>
      <c r="E55" s="16">
        <v>4</v>
      </c>
      <c r="F55" s="39">
        <f t="shared" si="9"/>
        <v>16500</v>
      </c>
      <c r="G55" s="40">
        <f t="shared" si="4"/>
        <v>841.83673469387759</v>
      </c>
      <c r="H55" s="40">
        <f t="shared" si="10"/>
        <v>61.600000000000009</v>
      </c>
      <c r="I55" s="41">
        <f t="shared" si="5"/>
        <v>49.862637362637372</v>
      </c>
      <c r="J55" s="41">
        <f t="shared" si="7"/>
        <v>11.737362637362637</v>
      </c>
      <c r="K55" s="2" t="str">
        <f t="shared" si="6"/>
        <v/>
      </c>
    </row>
    <row r="56" spans="1:11" ht="16">
      <c r="A56" s="17">
        <f t="shared" si="8"/>
        <v>30</v>
      </c>
      <c r="B56" s="16" t="s">
        <v>74</v>
      </c>
      <c r="C56" s="25">
        <v>3.2500000000000001E-2</v>
      </c>
      <c r="D56" s="26">
        <v>4158</v>
      </c>
      <c r="E56" s="16">
        <f>IF(A56&lt;=ReferenceTable!$H$1,ROUNDUP(C56*96,0),ROUNDDOWN(C56*96,0))</f>
        <v>3</v>
      </c>
      <c r="F56" s="39">
        <f t="shared" si="9"/>
        <v>32500</v>
      </c>
      <c r="G56" s="40">
        <f t="shared" si="4"/>
        <v>2210.8843537414969</v>
      </c>
      <c r="H56" s="40">
        <f t="shared" si="10"/>
        <v>46.2</v>
      </c>
      <c r="I56" s="41">
        <f t="shared" si="5"/>
        <v>24.565381708238856</v>
      </c>
      <c r="J56" s="41">
        <f t="shared" si="7"/>
        <v>21.634618291761146</v>
      </c>
      <c r="K56" s="2" t="str">
        <f t="shared" si="6"/>
        <v/>
      </c>
    </row>
    <row r="57" spans="1:11" ht="16">
      <c r="A57" s="17">
        <f t="shared" si="8"/>
        <v>31</v>
      </c>
      <c r="B57" s="16" t="s">
        <v>75</v>
      </c>
      <c r="C57" s="25">
        <v>3.2500000000000001E-2</v>
      </c>
      <c r="D57" s="26">
        <v>2750</v>
      </c>
      <c r="E57" s="16">
        <v>3</v>
      </c>
      <c r="F57" s="39">
        <f t="shared" si="9"/>
        <v>32500</v>
      </c>
      <c r="G57" s="40">
        <f t="shared" si="4"/>
        <v>2210.8843537414969</v>
      </c>
      <c r="H57" s="40">
        <f t="shared" si="10"/>
        <v>46.2</v>
      </c>
      <c r="I57" s="41">
        <f t="shared" si="5"/>
        <v>37.142857142857153</v>
      </c>
      <c r="J57" s="41">
        <f t="shared" si="7"/>
        <v>9.0571428571428498</v>
      </c>
      <c r="K57" s="2" t="str">
        <f t="shared" si="6"/>
        <v/>
      </c>
    </row>
    <row r="58" spans="1:11" ht="16">
      <c r="A58" s="17">
        <f t="shared" si="8"/>
        <v>32</v>
      </c>
      <c r="B58" s="16" t="s">
        <v>76</v>
      </c>
      <c r="C58" s="25">
        <v>2.7E-2</v>
      </c>
      <c r="D58" s="26">
        <v>1845</v>
      </c>
      <c r="E58" s="16">
        <v>3</v>
      </c>
      <c r="F58" s="39">
        <f t="shared" si="9"/>
        <v>27000</v>
      </c>
      <c r="G58" s="40">
        <f t="shared" si="4"/>
        <v>1836.7346938775511</v>
      </c>
      <c r="H58" s="40">
        <f t="shared" si="10"/>
        <v>46.2</v>
      </c>
      <c r="I58" s="41">
        <f t="shared" si="5"/>
        <v>45.99303135888502</v>
      </c>
      <c r="J58" s="41">
        <f t="shared" si="7"/>
        <v>0.20696864111498314</v>
      </c>
      <c r="K58" s="2" t="str">
        <f t="shared" si="6"/>
        <v/>
      </c>
    </row>
    <row r="59" spans="1:11" ht="16">
      <c r="A59" s="17">
        <f t="shared" si="8"/>
        <v>33</v>
      </c>
      <c r="B59" s="16" t="s">
        <v>77</v>
      </c>
      <c r="C59" s="25">
        <v>2.7777777699999999E-2</v>
      </c>
      <c r="D59" s="26">
        <v>2808</v>
      </c>
      <c r="E59" s="16">
        <v>3</v>
      </c>
      <c r="F59" s="39">
        <f t="shared" si="9"/>
        <v>27777.777699999999</v>
      </c>
      <c r="G59" s="40">
        <f t="shared" si="4"/>
        <v>1889.6447414965987</v>
      </c>
      <c r="H59" s="40">
        <f t="shared" si="10"/>
        <v>46.2</v>
      </c>
      <c r="I59" s="41">
        <f t="shared" si="5"/>
        <v>31.090308781033787</v>
      </c>
      <c r="J59" s="41">
        <f t="shared" si="7"/>
        <v>15.109691218966216</v>
      </c>
      <c r="K59" s="2" t="str">
        <f t="shared" si="6"/>
        <v/>
      </c>
    </row>
    <row r="60" spans="1:11" ht="16">
      <c r="A60" s="17">
        <f t="shared" si="8"/>
        <v>34</v>
      </c>
      <c r="B60" s="16" t="s">
        <v>78</v>
      </c>
      <c r="C60" s="25">
        <v>2.2499999999999999E-2</v>
      </c>
      <c r="D60" s="26">
        <v>1539</v>
      </c>
      <c r="E60" s="16">
        <v>4</v>
      </c>
      <c r="F60" s="39">
        <f t="shared" si="9"/>
        <v>22500</v>
      </c>
      <c r="G60" s="40">
        <f t="shared" si="4"/>
        <v>1147.9591836734696</v>
      </c>
      <c r="H60" s="40">
        <f t="shared" si="10"/>
        <v>61.600000000000009</v>
      </c>
      <c r="I60" s="41">
        <f t="shared" si="5"/>
        <v>45.9482038429407</v>
      </c>
      <c r="J60" s="41">
        <f t="shared" si="7"/>
        <v>15.651796157059309</v>
      </c>
      <c r="K60" s="2" t="str">
        <f t="shared" si="6"/>
        <v/>
      </c>
    </row>
    <row r="61" spans="1:11" ht="16">
      <c r="A61" s="17">
        <f t="shared" si="8"/>
        <v>35</v>
      </c>
      <c r="B61" s="16" t="s">
        <v>79</v>
      </c>
      <c r="C61" s="25">
        <v>2.7777777699999999E-2</v>
      </c>
      <c r="D61" s="26">
        <v>3294</v>
      </c>
      <c r="E61" s="16">
        <v>3</v>
      </c>
      <c r="F61" s="39">
        <f t="shared" si="9"/>
        <v>27777.777699999999</v>
      </c>
      <c r="G61" s="40">
        <f t="shared" si="4"/>
        <v>1889.6447414965987</v>
      </c>
      <c r="H61" s="40">
        <f t="shared" si="10"/>
        <v>46.2</v>
      </c>
      <c r="I61" s="41">
        <f t="shared" si="5"/>
        <v>26.503214042848473</v>
      </c>
      <c r="J61" s="41">
        <f t="shared" si="7"/>
        <v>19.69678595715153</v>
      </c>
      <c r="K61" s="2" t="str">
        <f t="shared" si="6"/>
        <v/>
      </c>
    </row>
    <row r="62" spans="1:11" ht="16">
      <c r="A62" s="17">
        <f t="shared" si="8"/>
        <v>36</v>
      </c>
      <c r="B62" s="16" t="s">
        <v>80</v>
      </c>
      <c r="C62" s="25">
        <v>2.7777777699999999E-2</v>
      </c>
      <c r="D62" s="26">
        <v>2619</v>
      </c>
      <c r="E62" s="16">
        <v>3</v>
      </c>
      <c r="F62" s="39">
        <f t="shared" si="9"/>
        <v>27777.777699999999</v>
      </c>
      <c r="G62" s="40">
        <f t="shared" si="4"/>
        <v>1889.6447414965987</v>
      </c>
      <c r="H62" s="40">
        <f t="shared" si="10"/>
        <v>46.2</v>
      </c>
      <c r="I62" s="41">
        <f t="shared" si="5"/>
        <v>33.333939311623851</v>
      </c>
      <c r="J62" s="41">
        <f t="shared" si="7"/>
        <v>12.866060688376152</v>
      </c>
      <c r="K62" s="2" t="str">
        <f t="shared" si="6"/>
        <v/>
      </c>
    </row>
    <row r="63" spans="1:11" ht="16" hidden="1">
      <c r="A63" s="17">
        <f t="shared" si="8"/>
        <v>0</v>
      </c>
      <c r="B63" s="16"/>
      <c r="C63" s="25"/>
      <c r="D63" s="26"/>
      <c r="E63" s="16">
        <f>IF(A63&lt;=ReferenceTable!$H$1,ROUNDUP(C63*96,0),ROUNDDOWN(C63*96,0))</f>
        <v>0</v>
      </c>
      <c r="F63" s="39">
        <f t="shared" si="9"/>
        <v>0</v>
      </c>
      <c r="G63" s="40">
        <f t="shared" si="4"/>
        <v>0</v>
      </c>
      <c r="H63" s="40">
        <f t="shared" si="10"/>
        <v>0</v>
      </c>
      <c r="I63" s="41">
        <f t="shared" si="5"/>
        <v>0</v>
      </c>
      <c r="J63" s="41">
        <f t="shared" si="7"/>
        <v>0</v>
      </c>
      <c r="K63" s="2" t="str">
        <f t="shared" si="6"/>
        <v/>
      </c>
    </row>
    <row r="64" spans="1:11" ht="16" hidden="1">
      <c r="A64" s="17">
        <f t="shared" si="8"/>
        <v>0</v>
      </c>
      <c r="B64" s="16"/>
      <c r="C64" s="25"/>
      <c r="D64" s="26"/>
      <c r="E64" s="16">
        <f>IF(A64&lt;=ReferenceTable!$H$1,ROUNDUP(C64*96,0),ROUNDDOWN(C64*96,0))</f>
        <v>0</v>
      </c>
      <c r="F64" s="39">
        <f t="shared" si="9"/>
        <v>0</v>
      </c>
      <c r="G64" s="40">
        <f t="shared" si="4"/>
        <v>0</v>
      </c>
      <c r="H64" s="40">
        <f t="shared" si="10"/>
        <v>0</v>
      </c>
      <c r="I64" s="41">
        <f t="shared" si="5"/>
        <v>0</v>
      </c>
      <c r="J64" s="41">
        <f t="shared" si="7"/>
        <v>0</v>
      </c>
      <c r="K64" s="2" t="str">
        <f t="shared" si="6"/>
        <v/>
      </c>
    </row>
    <row r="65" spans="1:11" ht="16" hidden="1">
      <c r="A65" s="17">
        <f t="shared" si="8"/>
        <v>0</v>
      </c>
      <c r="B65" s="16"/>
      <c r="C65" s="25"/>
      <c r="D65" s="26"/>
      <c r="E65" s="16">
        <f>IF(A65&lt;=ReferenceTable!$H$1,ROUNDUP(C65*96,0),ROUNDDOWN(C65*96,0))</f>
        <v>0</v>
      </c>
      <c r="F65" s="39">
        <f t="shared" si="9"/>
        <v>0</v>
      </c>
      <c r="G65" s="40">
        <f t="shared" si="4"/>
        <v>0</v>
      </c>
      <c r="H65" s="40">
        <f t="shared" si="10"/>
        <v>0</v>
      </c>
      <c r="I65" s="41">
        <f t="shared" si="5"/>
        <v>0</v>
      </c>
      <c r="J65" s="41">
        <f t="shared" si="7"/>
        <v>0</v>
      </c>
      <c r="K65" s="2" t="str">
        <f t="shared" si="6"/>
        <v/>
      </c>
    </row>
    <row r="66" spans="1:11" ht="16" hidden="1">
      <c r="A66" s="17">
        <f t="shared" si="8"/>
        <v>0</v>
      </c>
      <c r="B66" s="16"/>
      <c r="C66" s="25"/>
      <c r="D66" s="26"/>
      <c r="E66" s="16">
        <f>IF(A66&lt;=ReferenceTable!$H$1,ROUNDUP(C66*96,0),ROUNDDOWN(C66*96,0))</f>
        <v>0</v>
      </c>
      <c r="F66" s="39">
        <f t="shared" si="9"/>
        <v>0</v>
      </c>
      <c r="G66" s="40">
        <f t="shared" si="4"/>
        <v>0</v>
      </c>
      <c r="H66" s="40">
        <f t="shared" si="10"/>
        <v>0</v>
      </c>
      <c r="I66" s="41">
        <f t="shared" si="5"/>
        <v>0</v>
      </c>
      <c r="J66" s="41">
        <f t="shared" si="7"/>
        <v>0</v>
      </c>
      <c r="K66" s="2" t="str">
        <f t="shared" si="6"/>
        <v/>
      </c>
    </row>
    <row r="67" spans="1:11" ht="16" hidden="1">
      <c r="A67" s="17">
        <f t="shared" si="8"/>
        <v>0</v>
      </c>
      <c r="B67" s="16"/>
      <c r="C67" s="25"/>
      <c r="D67" s="26"/>
      <c r="E67" s="16">
        <f>IF(A67&lt;=ReferenceTable!$H$1,ROUNDUP(C67*96,0),ROUNDDOWN(C67*96,0))</f>
        <v>0</v>
      </c>
      <c r="F67" s="39">
        <f t="shared" si="9"/>
        <v>0</v>
      </c>
      <c r="G67" s="40">
        <f t="shared" si="4"/>
        <v>0</v>
      </c>
      <c r="H67" s="40">
        <f t="shared" si="10"/>
        <v>0</v>
      </c>
      <c r="I67" s="41">
        <f t="shared" si="5"/>
        <v>0</v>
      </c>
      <c r="J67" s="41">
        <f t="shared" si="7"/>
        <v>0</v>
      </c>
      <c r="K67" s="2" t="str">
        <f t="shared" si="6"/>
        <v/>
      </c>
    </row>
    <row r="68" spans="1:11" ht="16" hidden="1">
      <c r="A68" s="17">
        <f t="shared" si="8"/>
        <v>0</v>
      </c>
      <c r="B68" s="16"/>
      <c r="C68" s="25"/>
      <c r="D68" s="26"/>
      <c r="E68" s="16">
        <f>IF(A68&lt;=ReferenceTable!$H$1,ROUNDUP(C68*96,0),ROUNDDOWN(C68*96,0))</f>
        <v>0</v>
      </c>
      <c r="F68" s="39">
        <f t="shared" si="9"/>
        <v>0</v>
      </c>
      <c r="G68" s="40">
        <f t="shared" si="4"/>
        <v>0</v>
      </c>
      <c r="H68" s="40">
        <f t="shared" si="10"/>
        <v>0</v>
      </c>
      <c r="I68" s="41">
        <f t="shared" si="5"/>
        <v>0</v>
      </c>
      <c r="J68" s="41">
        <f t="shared" si="7"/>
        <v>0</v>
      </c>
      <c r="K68" s="2" t="str">
        <f t="shared" si="6"/>
        <v/>
      </c>
    </row>
    <row r="69" spans="1:11" ht="16" hidden="1">
      <c r="A69" s="17">
        <f t="shared" si="8"/>
        <v>0</v>
      </c>
      <c r="B69" s="16"/>
      <c r="C69" s="25"/>
      <c r="D69" s="26"/>
      <c r="E69" s="16">
        <f>IF(A69&lt;=ReferenceTable!$H$1,ROUNDUP(C69*96,0),ROUNDDOWN(C69*96,0))</f>
        <v>0</v>
      </c>
      <c r="F69" s="39">
        <f t="shared" si="9"/>
        <v>0</v>
      </c>
      <c r="G69" s="40">
        <f t="shared" si="4"/>
        <v>0</v>
      </c>
      <c r="H69" s="40">
        <f t="shared" si="10"/>
        <v>0</v>
      </c>
      <c r="I69" s="41">
        <f t="shared" si="5"/>
        <v>0</v>
      </c>
      <c r="J69" s="41">
        <f t="shared" si="7"/>
        <v>0</v>
      </c>
      <c r="K69" s="2" t="str">
        <f t="shared" si="6"/>
        <v/>
      </c>
    </row>
    <row r="70" spans="1:11" ht="16" hidden="1">
      <c r="A70" s="17">
        <f t="shared" si="8"/>
        <v>0</v>
      </c>
      <c r="B70" s="16"/>
      <c r="C70" s="25"/>
      <c r="D70" s="26"/>
      <c r="E70" s="16">
        <f>IF(A70&lt;=ReferenceTable!$H$1,ROUNDUP(C70*96,0),ROUNDDOWN(C70*96,0))</f>
        <v>0</v>
      </c>
      <c r="F70" s="39">
        <f t="shared" si="9"/>
        <v>0</v>
      </c>
      <c r="G70" s="40">
        <f t="shared" si="4"/>
        <v>0</v>
      </c>
      <c r="H70" s="40">
        <f t="shared" si="10"/>
        <v>0</v>
      </c>
      <c r="I70" s="41">
        <f t="shared" si="5"/>
        <v>0</v>
      </c>
      <c r="J70" s="41">
        <f t="shared" si="7"/>
        <v>0</v>
      </c>
      <c r="K70" s="2" t="str">
        <f t="shared" si="6"/>
        <v/>
      </c>
    </row>
    <row r="71" spans="1:11" ht="16" hidden="1">
      <c r="A71" s="17">
        <f t="shared" si="8"/>
        <v>0</v>
      </c>
      <c r="B71" s="16"/>
      <c r="C71" s="25"/>
      <c r="D71" s="26"/>
      <c r="E71" s="16">
        <f>IF(A71&lt;=ReferenceTable!$H$1,ROUNDUP(C71*96,0),ROUNDDOWN(C71*96,0))</f>
        <v>0</v>
      </c>
      <c r="F71" s="39">
        <f t="shared" si="9"/>
        <v>0</v>
      </c>
      <c r="G71" s="40">
        <f t="shared" si="4"/>
        <v>0</v>
      </c>
      <c r="H71" s="40">
        <f t="shared" si="10"/>
        <v>0</v>
      </c>
      <c r="I71" s="41">
        <f t="shared" si="5"/>
        <v>0</v>
      </c>
      <c r="J71" s="41">
        <f t="shared" si="7"/>
        <v>0</v>
      </c>
      <c r="K71" s="2" t="str">
        <f t="shared" si="6"/>
        <v/>
      </c>
    </row>
    <row r="72" spans="1:11" ht="16" hidden="1">
      <c r="A72" s="17">
        <f t="shared" si="8"/>
        <v>0</v>
      </c>
      <c r="B72" s="16"/>
      <c r="C72" s="25"/>
      <c r="D72" s="26"/>
      <c r="E72" s="16">
        <f>IF(A72&lt;=ReferenceTable!$H$1,ROUNDUP(C72*96,0),ROUNDDOWN(C72*96,0))</f>
        <v>0</v>
      </c>
      <c r="F72" s="39">
        <f t="shared" si="9"/>
        <v>0</v>
      </c>
      <c r="G72" s="40">
        <f t="shared" si="4"/>
        <v>0</v>
      </c>
      <c r="H72" s="40">
        <f t="shared" si="10"/>
        <v>0</v>
      </c>
      <c r="I72" s="41">
        <f t="shared" si="5"/>
        <v>0</v>
      </c>
      <c r="J72" s="41">
        <f t="shared" si="7"/>
        <v>0</v>
      </c>
      <c r="K72" s="2" t="str">
        <f t="shared" si="6"/>
        <v/>
      </c>
    </row>
    <row r="73" spans="1:11" ht="16" hidden="1">
      <c r="A73" s="17">
        <f t="shared" si="8"/>
        <v>0</v>
      </c>
      <c r="B73" s="16"/>
      <c r="C73" s="25"/>
      <c r="D73" s="26"/>
      <c r="E73" s="16">
        <f>IF(A73&lt;=ReferenceTable!$H$1,ROUNDUP(C73*96,0),ROUNDDOWN(C73*96,0))</f>
        <v>0</v>
      </c>
      <c r="F73" s="39">
        <f t="shared" ref="F73:F122" si="11">C73*$C$24</f>
        <v>0</v>
      </c>
      <c r="G73" s="40">
        <f t="shared" si="4"/>
        <v>0</v>
      </c>
      <c r="H73" s="40">
        <f t="shared" ref="H73:H122" si="12">(14*E73)*1.1</f>
        <v>0</v>
      </c>
      <c r="I73" s="41">
        <f t="shared" ref="I73:I122" si="13">IFERROR(H73/(D73/G73),0)</f>
        <v>0</v>
      </c>
      <c r="J73" s="41">
        <f t="shared" ref="J73:J122" si="14">IF(I73=0,0,H73-I73)</f>
        <v>0</v>
      </c>
      <c r="K73" s="2" t="str">
        <f t="shared" si="6"/>
        <v/>
      </c>
    </row>
    <row r="74" spans="1:11" ht="16" hidden="1">
      <c r="A74" s="17">
        <f t="shared" si="8"/>
        <v>0</v>
      </c>
      <c r="B74" s="16"/>
      <c r="C74" s="25"/>
      <c r="D74" s="26"/>
      <c r="E74" s="16">
        <f>IF(A74&lt;=ReferenceTable!$H$1,ROUNDUP(C74*96,0),ROUNDDOWN(C74*96,0))</f>
        <v>0</v>
      </c>
      <c r="F74" s="39">
        <f t="shared" si="11"/>
        <v>0</v>
      </c>
      <c r="G74" s="40">
        <f t="shared" si="4"/>
        <v>0</v>
      </c>
      <c r="H74" s="40">
        <f t="shared" si="12"/>
        <v>0</v>
      </c>
      <c r="I74" s="41">
        <f t="shared" si="13"/>
        <v>0</v>
      </c>
      <c r="J74" s="41">
        <f t="shared" si="14"/>
        <v>0</v>
      </c>
      <c r="K74" s="2" t="str">
        <f t="shared" si="6"/>
        <v/>
      </c>
    </row>
    <row r="75" spans="1:11" ht="16" hidden="1">
      <c r="A75" s="17">
        <f t="shared" si="8"/>
        <v>0</v>
      </c>
      <c r="B75" s="16"/>
      <c r="C75" s="25"/>
      <c r="D75" s="26"/>
      <c r="E75" s="16">
        <f>IF(A75&lt;=ReferenceTable!$H$1,ROUNDUP(C75*96,0),ROUNDDOWN(C75*96,0))</f>
        <v>0</v>
      </c>
      <c r="F75" s="39">
        <f t="shared" si="11"/>
        <v>0</v>
      </c>
      <c r="G75" s="40">
        <f t="shared" si="4"/>
        <v>0</v>
      </c>
      <c r="H75" s="40">
        <f t="shared" si="12"/>
        <v>0</v>
      </c>
      <c r="I75" s="41">
        <f t="shared" si="13"/>
        <v>0</v>
      </c>
      <c r="J75" s="41">
        <f t="shared" si="14"/>
        <v>0</v>
      </c>
      <c r="K75" s="2" t="str">
        <f t="shared" si="6"/>
        <v/>
      </c>
    </row>
    <row r="76" spans="1:11" ht="16" hidden="1">
      <c r="A76" s="17">
        <f t="shared" si="8"/>
        <v>0</v>
      </c>
      <c r="B76" s="16"/>
      <c r="C76" s="25"/>
      <c r="D76" s="26"/>
      <c r="E76" s="16">
        <f>IF(A76&lt;=ReferenceTable!$H$1,ROUNDUP(C76*96,0),ROUNDDOWN(C76*96,0))</f>
        <v>0</v>
      </c>
      <c r="F76" s="39">
        <f t="shared" si="11"/>
        <v>0</v>
      </c>
      <c r="G76" s="40">
        <f t="shared" si="4"/>
        <v>0</v>
      </c>
      <c r="H76" s="40">
        <f t="shared" si="12"/>
        <v>0</v>
      </c>
      <c r="I76" s="41">
        <f t="shared" si="13"/>
        <v>0</v>
      </c>
      <c r="J76" s="41">
        <f t="shared" si="14"/>
        <v>0</v>
      </c>
      <c r="K76" s="2" t="str">
        <f t="shared" si="6"/>
        <v/>
      </c>
    </row>
    <row r="77" spans="1:11" ht="16" hidden="1">
      <c r="A77" s="17">
        <f t="shared" si="8"/>
        <v>0</v>
      </c>
      <c r="B77" s="16"/>
      <c r="C77" s="25"/>
      <c r="D77" s="26"/>
      <c r="E77" s="16">
        <f>IF(A77&lt;=ReferenceTable!$H$1,ROUNDUP(C77*96,0),ROUNDDOWN(C77*96,0))</f>
        <v>0</v>
      </c>
      <c r="F77" s="39">
        <f t="shared" si="11"/>
        <v>0</v>
      </c>
      <c r="G77" s="40">
        <f t="shared" si="4"/>
        <v>0</v>
      </c>
      <c r="H77" s="40">
        <f t="shared" si="12"/>
        <v>0</v>
      </c>
      <c r="I77" s="41">
        <f t="shared" si="13"/>
        <v>0</v>
      </c>
      <c r="J77" s="41">
        <f t="shared" si="14"/>
        <v>0</v>
      </c>
      <c r="K77" s="2" t="str">
        <f t="shared" si="6"/>
        <v/>
      </c>
    </row>
    <row r="78" spans="1:11" ht="16" hidden="1">
      <c r="A78" s="17">
        <f t="shared" si="8"/>
        <v>0</v>
      </c>
      <c r="B78" s="16"/>
      <c r="C78" s="25"/>
      <c r="D78" s="26"/>
      <c r="E78" s="16">
        <f>IF(A78&lt;=ReferenceTable!$H$1,ROUNDUP(C78*96,0),ROUNDDOWN(C78*96,0))</f>
        <v>0</v>
      </c>
      <c r="F78" s="39">
        <f t="shared" si="11"/>
        <v>0</v>
      </c>
      <c r="G78" s="40">
        <f t="shared" si="4"/>
        <v>0</v>
      </c>
      <c r="H78" s="40">
        <f t="shared" si="12"/>
        <v>0</v>
      </c>
      <c r="I78" s="41">
        <f t="shared" si="13"/>
        <v>0</v>
      </c>
      <c r="J78" s="41">
        <f t="shared" si="14"/>
        <v>0</v>
      </c>
      <c r="K78" s="2" t="str">
        <f t="shared" si="6"/>
        <v/>
      </c>
    </row>
    <row r="79" spans="1:11" ht="16" hidden="1">
      <c r="A79" s="17">
        <f t="shared" si="8"/>
        <v>0</v>
      </c>
      <c r="B79" s="16"/>
      <c r="C79" s="25"/>
      <c r="D79" s="26"/>
      <c r="E79" s="16">
        <f>IF(A79&lt;=ReferenceTable!$H$1,ROUNDUP(C79*96,0),ROUNDDOWN(C79*96,0))</f>
        <v>0</v>
      </c>
      <c r="F79" s="39">
        <f t="shared" si="11"/>
        <v>0</v>
      </c>
      <c r="G79" s="40">
        <f t="shared" si="4"/>
        <v>0</v>
      </c>
      <c r="H79" s="40">
        <f t="shared" si="12"/>
        <v>0</v>
      </c>
      <c r="I79" s="41">
        <f t="shared" si="13"/>
        <v>0</v>
      </c>
      <c r="J79" s="41">
        <f t="shared" si="14"/>
        <v>0</v>
      </c>
      <c r="K79" s="2" t="str">
        <f t="shared" si="6"/>
        <v/>
      </c>
    </row>
    <row r="80" spans="1:11" ht="16" hidden="1">
      <c r="A80" s="17">
        <f t="shared" si="8"/>
        <v>0</v>
      </c>
      <c r="B80" s="16"/>
      <c r="C80" s="25"/>
      <c r="D80" s="26"/>
      <c r="E80" s="16">
        <f>IF(A80&lt;=ReferenceTable!$H$1,ROUNDUP(C80*96,0),ROUNDDOWN(C80*96,0))</f>
        <v>0</v>
      </c>
      <c r="F80" s="39">
        <f t="shared" si="11"/>
        <v>0</v>
      </c>
      <c r="G80" s="40">
        <f t="shared" si="4"/>
        <v>0</v>
      </c>
      <c r="H80" s="40">
        <f t="shared" si="12"/>
        <v>0</v>
      </c>
      <c r="I80" s="41">
        <f t="shared" si="13"/>
        <v>0</v>
      </c>
      <c r="J80" s="41">
        <f t="shared" si="14"/>
        <v>0</v>
      </c>
      <c r="K80" s="2" t="str">
        <f t="shared" si="6"/>
        <v/>
      </c>
    </row>
    <row r="81" spans="1:11" ht="16" hidden="1">
      <c r="A81" s="17">
        <f t="shared" si="8"/>
        <v>0</v>
      </c>
      <c r="B81" s="16"/>
      <c r="C81" s="25"/>
      <c r="D81" s="26"/>
      <c r="E81" s="16">
        <f>IF(A81&lt;=ReferenceTable!$H$1,ROUNDUP(C81*96,0),ROUNDDOWN(C81*96,0))</f>
        <v>0</v>
      </c>
      <c r="F81" s="39">
        <f t="shared" si="11"/>
        <v>0</v>
      </c>
      <c r="G81" s="40">
        <f t="shared" si="4"/>
        <v>0</v>
      </c>
      <c r="H81" s="40">
        <f t="shared" si="12"/>
        <v>0</v>
      </c>
      <c r="I81" s="41">
        <f t="shared" si="13"/>
        <v>0</v>
      </c>
      <c r="J81" s="41">
        <f t="shared" si="14"/>
        <v>0</v>
      </c>
      <c r="K81" s="2" t="str">
        <f t="shared" si="6"/>
        <v/>
      </c>
    </row>
    <row r="82" spans="1:11" ht="16" hidden="1">
      <c r="A82" s="17">
        <f t="shared" si="8"/>
        <v>0</v>
      </c>
      <c r="B82" s="16"/>
      <c r="C82" s="25"/>
      <c r="D82" s="26"/>
      <c r="E82" s="16">
        <f>IF(A82&lt;=ReferenceTable!$H$1,ROUNDUP(C82*96,0),ROUNDDOWN(C82*96,0))</f>
        <v>0</v>
      </c>
      <c r="F82" s="39">
        <f t="shared" si="11"/>
        <v>0</v>
      </c>
      <c r="G82" s="40">
        <f t="shared" si="4"/>
        <v>0</v>
      </c>
      <c r="H82" s="40">
        <f t="shared" si="12"/>
        <v>0</v>
      </c>
      <c r="I82" s="41">
        <f t="shared" si="13"/>
        <v>0</v>
      </c>
      <c r="J82" s="41">
        <f t="shared" si="14"/>
        <v>0</v>
      </c>
      <c r="K82" s="2" t="str">
        <f t="shared" si="6"/>
        <v/>
      </c>
    </row>
    <row r="83" spans="1:11" ht="16" hidden="1">
      <c r="A83" s="17">
        <f t="shared" si="8"/>
        <v>0</v>
      </c>
      <c r="B83" s="16"/>
      <c r="C83" s="25"/>
      <c r="D83" s="26"/>
      <c r="E83" s="16">
        <f>IF(A83&lt;=ReferenceTable!$H$1,ROUNDUP(C83*96,0),ROUNDDOWN(C83*96,0))</f>
        <v>0</v>
      </c>
      <c r="F83" s="39">
        <f t="shared" si="11"/>
        <v>0</v>
      </c>
      <c r="G83" s="40">
        <f t="shared" si="4"/>
        <v>0</v>
      </c>
      <c r="H83" s="40">
        <f t="shared" si="12"/>
        <v>0</v>
      </c>
      <c r="I83" s="41">
        <f t="shared" si="13"/>
        <v>0</v>
      </c>
      <c r="J83" s="41">
        <f t="shared" si="14"/>
        <v>0</v>
      </c>
      <c r="K83" s="2" t="str">
        <f t="shared" si="6"/>
        <v/>
      </c>
    </row>
    <row r="84" spans="1:11" ht="16" hidden="1">
      <c r="A84" s="17">
        <f t="shared" si="8"/>
        <v>0</v>
      </c>
      <c r="B84" s="16"/>
      <c r="C84" s="25"/>
      <c r="D84" s="26"/>
      <c r="E84" s="16">
        <f>IF(A84&lt;=ReferenceTable!$H$1,ROUNDUP(C84*96,0),ROUNDDOWN(C84*96,0))</f>
        <v>0</v>
      </c>
      <c r="F84" s="39">
        <f t="shared" si="11"/>
        <v>0</v>
      </c>
      <c r="G84" s="40">
        <f t="shared" si="4"/>
        <v>0</v>
      </c>
      <c r="H84" s="40">
        <f t="shared" si="12"/>
        <v>0</v>
      </c>
      <c r="I84" s="41">
        <f t="shared" si="13"/>
        <v>0</v>
      </c>
      <c r="J84" s="41">
        <f t="shared" si="14"/>
        <v>0</v>
      </c>
      <c r="K84" s="2" t="str">
        <f t="shared" si="6"/>
        <v/>
      </c>
    </row>
    <row r="85" spans="1:11" ht="16" hidden="1">
      <c r="A85" s="17">
        <f t="shared" si="8"/>
        <v>0</v>
      </c>
      <c r="B85" s="16"/>
      <c r="C85" s="25"/>
      <c r="D85" s="26"/>
      <c r="E85" s="16">
        <f>IF(A85&lt;=ReferenceTable!$H$1,ROUNDUP(C85*96,0),ROUNDDOWN(C85*96,0))</f>
        <v>0</v>
      </c>
      <c r="F85" s="39">
        <f t="shared" si="11"/>
        <v>0</v>
      </c>
      <c r="G85" s="40">
        <f t="shared" si="4"/>
        <v>0</v>
      </c>
      <c r="H85" s="40">
        <f t="shared" si="12"/>
        <v>0</v>
      </c>
      <c r="I85" s="41">
        <f t="shared" si="13"/>
        <v>0</v>
      </c>
      <c r="J85" s="41">
        <f t="shared" si="14"/>
        <v>0</v>
      </c>
      <c r="K85" s="2" t="str">
        <f t="shared" si="6"/>
        <v/>
      </c>
    </row>
    <row r="86" spans="1:11" ht="16" hidden="1">
      <c r="A86" s="17">
        <f t="shared" si="8"/>
        <v>0</v>
      </c>
      <c r="B86" s="16"/>
      <c r="C86" s="25"/>
      <c r="D86" s="26"/>
      <c r="E86" s="16">
        <f>IF(A86&lt;=ReferenceTable!$H$1,ROUNDUP(C86*96,0),ROUNDDOWN(C86*96,0))</f>
        <v>0</v>
      </c>
      <c r="F86" s="39">
        <f t="shared" si="11"/>
        <v>0</v>
      </c>
      <c r="G86" s="40">
        <f t="shared" si="4"/>
        <v>0</v>
      </c>
      <c r="H86" s="40">
        <f t="shared" si="12"/>
        <v>0</v>
      </c>
      <c r="I86" s="41">
        <f t="shared" si="13"/>
        <v>0</v>
      </c>
      <c r="J86" s="41">
        <f t="shared" si="14"/>
        <v>0</v>
      </c>
      <c r="K86" s="2" t="str">
        <f t="shared" si="6"/>
        <v/>
      </c>
    </row>
    <row r="87" spans="1:11" ht="16" hidden="1">
      <c r="A87" s="17">
        <f t="shared" si="8"/>
        <v>0</v>
      </c>
      <c r="B87" s="16"/>
      <c r="C87" s="25"/>
      <c r="D87" s="26"/>
      <c r="E87" s="16">
        <f>IF(A87&lt;=ReferenceTable!$H$1,ROUNDUP(C87*96,0),ROUNDDOWN(C87*96,0))</f>
        <v>0</v>
      </c>
      <c r="F87" s="39">
        <f t="shared" si="11"/>
        <v>0</v>
      </c>
      <c r="G87" s="40">
        <f t="shared" si="4"/>
        <v>0</v>
      </c>
      <c r="H87" s="40">
        <f t="shared" si="12"/>
        <v>0</v>
      </c>
      <c r="I87" s="41">
        <f t="shared" si="13"/>
        <v>0</v>
      </c>
      <c r="J87" s="41">
        <f t="shared" si="14"/>
        <v>0</v>
      </c>
      <c r="K87" s="2" t="str">
        <f t="shared" si="6"/>
        <v/>
      </c>
    </row>
    <row r="88" spans="1:11" ht="16" hidden="1">
      <c r="A88" s="17">
        <f t="shared" si="8"/>
        <v>0</v>
      </c>
      <c r="B88" s="16"/>
      <c r="C88" s="25"/>
      <c r="D88" s="26"/>
      <c r="E88" s="16">
        <f>IF(A88&lt;=ReferenceTable!$H$1,ROUNDUP(C88*96,0),ROUNDDOWN(C88*96,0))</f>
        <v>0</v>
      </c>
      <c r="F88" s="39">
        <f t="shared" si="11"/>
        <v>0</v>
      </c>
      <c r="G88" s="40">
        <f t="shared" si="4"/>
        <v>0</v>
      </c>
      <c r="H88" s="40">
        <f t="shared" si="12"/>
        <v>0</v>
      </c>
      <c r="I88" s="41">
        <f t="shared" si="13"/>
        <v>0</v>
      </c>
      <c r="J88" s="41">
        <f t="shared" si="14"/>
        <v>0</v>
      </c>
      <c r="K88" s="2" t="str">
        <f t="shared" si="6"/>
        <v/>
      </c>
    </row>
    <row r="89" spans="1:11" ht="16" hidden="1">
      <c r="A89" s="17">
        <f t="shared" si="8"/>
        <v>0</v>
      </c>
      <c r="B89" s="16"/>
      <c r="C89" s="25"/>
      <c r="D89" s="26"/>
      <c r="E89" s="16">
        <f>IF(A89&lt;=ReferenceTable!$H$1,ROUNDUP(C89*96,0),ROUNDDOWN(C89*96,0))</f>
        <v>0</v>
      </c>
      <c r="F89" s="39">
        <f t="shared" si="11"/>
        <v>0</v>
      </c>
      <c r="G89" s="40">
        <f t="shared" si="4"/>
        <v>0</v>
      </c>
      <c r="H89" s="40">
        <f t="shared" si="12"/>
        <v>0</v>
      </c>
      <c r="I89" s="41">
        <f t="shared" si="13"/>
        <v>0</v>
      </c>
      <c r="J89" s="41">
        <f t="shared" si="14"/>
        <v>0</v>
      </c>
      <c r="K89" s="2" t="str">
        <f t="shared" si="6"/>
        <v/>
      </c>
    </row>
    <row r="90" spans="1:11" ht="16" hidden="1">
      <c r="A90" s="17">
        <f t="shared" si="8"/>
        <v>0</v>
      </c>
      <c r="B90" s="16"/>
      <c r="C90" s="25"/>
      <c r="D90" s="26"/>
      <c r="E90" s="16">
        <f>IF(A90&lt;=ReferenceTable!$H$1,ROUNDUP(C90*96,0),ROUNDDOWN(C90*96,0))</f>
        <v>0</v>
      </c>
      <c r="F90" s="39">
        <f t="shared" si="11"/>
        <v>0</v>
      </c>
      <c r="G90" s="40">
        <f t="shared" si="4"/>
        <v>0</v>
      </c>
      <c r="H90" s="40">
        <f t="shared" si="12"/>
        <v>0</v>
      </c>
      <c r="I90" s="41">
        <f t="shared" si="13"/>
        <v>0</v>
      </c>
      <c r="J90" s="41">
        <f t="shared" si="14"/>
        <v>0</v>
      </c>
      <c r="K90" s="2" t="str">
        <f t="shared" si="6"/>
        <v/>
      </c>
    </row>
    <row r="91" spans="1:11" ht="16" hidden="1">
      <c r="A91" s="17">
        <f t="shared" si="8"/>
        <v>0</v>
      </c>
      <c r="B91" s="16"/>
      <c r="C91" s="25"/>
      <c r="D91" s="26"/>
      <c r="E91" s="16">
        <f>IF(A91&lt;=ReferenceTable!$H$1,ROUNDUP(C91*96,0),ROUNDDOWN(C91*96,0))</f>
        <v>0</v>
      </c>
      <c r="F91" s="39">
        <f t="shared" si="11"/>
        <v>0</v>
      </c>
      <c r="G91" s="40">
        <f t="shared" si="4"/>
        <v>0</v>
      </c>
      <c r="H91" s="40">
        <f t="shared" si="12"/>
        <v>0</v>
      </c>
      <c r="I91" s="41">
        <f t="shared" si="13"/>
        <v>0</v>
      </c>
      <c r="J91" s="41">
        <f t="shared" si="14"/>
        <v>0</v>
      </c>
      <c r="K91" s="2" t="str">
        <f t="shared" si="6"/>
        <v/>
      </c>
    </row>
    <row r="92" spans="1:11" ht="16" hidden="1">
      <c r="A92" s="17">
        <f t="shared" si="8"/>
        <v>0</v>
      </c>
      <c r="B92" s="16"/>
      <c r="C92" s="25"/>
      <c r="D92" s="26"/>
      <c r="E92" s="16">
        <f>IF(A92&lt;=ReferenceTable!$H$1,ROUNDUP(C92*96,0),ROUNDDOWN(C92*96,0))</f>
        <v>0</v>
      </c>
      <c r="F92" s="39">
        <f t="shared" si="11"/>
        <v>0</v>
      </c>
      <c r="G92" s="40">
        <f t="shared" ref="G92:G122" si="15">IFERROR(F92/(235.2*(E92/48)),0)</f>
        <v>0</v>
      </c>
      <c r="H92" s="40">
        <f t="shared" si="12"/>
        <v>0</v>
      </c>
      <c r="I92" s="41">
        <f t="shared" si="13"/>
        <v>0</v>
      </c>
      <c r="J92" s="41">
        <f t="shared" si="14"/>
        <v>0</v>
      </c>
      <c r="K92" s="2" t="str">
        <f t="shared" ref="K92:K122" si="16">IF(J92&lt;0,"CRITICAL: This cell stock concentration is too low.","")</f>
        <v/>
      </c>
    </row>
    <row r="93" spans="1:11" ht="16" hidden="1">
      <c r="A93" s="17">
        <f t="shared" si="8"/>
        <v>0</v>
      </c>
      <c r="B93" s="16"/>
      <c r="C93" s="25"/>
      <c r="D93" s="26"/>
      <c r="E93" s="16">
        <f>IF(A93&lt;=ReferenceTable!$H$1,ROUNDUP(C93*96,0),ROUNDDOWN(C93*96,0))</f>
        <v>0</v>
      </c>
      <c r="F93" s="39">
        <f t="shared" si="11"/>
        <v>0</v>
      </c>
      <c r="G93" s="40">
        <f t="shared" si="15"/>
        <v>0</v>
      </c>
      <c r="H93" s="40">
        <f t="shared" si="12"/>
        <v>0</v>
      </c>
      <c r="I93" s="41">
        <f t="shared" si="13"/>
        <v>0</v>
      </c>
      <c r="J93" s="41">
        <f t="shared" si="14"/>
        <v>0</v>
      </c>
      <c r="K93" s="2" t="str">
        <f t="shared" si="16"/>
        <v/>
      </c>
    </row>
    <row r="94" spans="1:11" ht="16" hidden="1">
      <c r="A94" s="17">
        <f t="shared" si="8"/>
        <v>0</v>
      </c>
      <c r="B94" s="16"/>
      <c r="C94" s="25"/>
      <c r="D94" s="26"/>
      <c r="E94" s="16">
        <f>IF(A94&lt;=ReferenceTable!$H$1,ROUNDUP(C94*96,0),ROUNDDOWN(C94*96,0))</f>
        <v>0</v>
      </c>
      <c r="F94" s="39">
        <f t="shared" si="11"/>
        <v>0</v>
      </c>
      <c r="G94" s="40">
        <f t="shared" si="15"/>
        <v>0</v>
      </c>
      <c r="H94" s="40">
        <f t="shared" si="12"/>
        <v>0</v>
      </c>
      <c r="I94" s="41">
        <f t="shared" si="13"/>
        <v>0</v>
      </c>
      <c r="J94" s="41">
        <f t="shared" si="14"/>
        <v>0</v>
      </c>
      <c r="K94" s="2" t="str">
        <f t="shared" si="16"/>
        <v/>
      </c>
    </row>
    <row r="95" spans="1:11" ht="16" hidden="1">
      <c r="A95" s="17">
        <f t="shared" si="8"/>
        <v>0</v>
      </c>
      <c r="B95" s="16"/>
      <c r="C95" s="25"/>
      <c r="D95" s="26"/>
      <c r="E95" s="16">
        <f>IF(A95&lt;=ReferenceTable!$H$1,ROUNDUP(C95*96,0),ROUNDDOWN(C95*96,0))</f>
        <v>0</v>
      </c>
      <c r="F95" s="39">
        <f t="shared" si="11"/>
        <v>0</v>
      </c>
      <c r="G95" s="40">
        <f t="shared" si="15"/>
        <v>0</v>
      </c>
      <c r="H95" s="40">
        <f t="shared" si="12"/>
        <v>0</v>
      </c>
      <c r="I95" s="41">
        <f t="shared" si="13"/>
        <v>0</v>
      </c>
      <c r="J95" s="41">
        <f t="shared" si="14"/>
        <v>0</v>
      </c>
      <c r="K95" s="2" t="str">
        <f t="shared" si="16"/>
        <v/>
      </c>
    </row>
    <row r="96" spans="1:11" ht="16" hidden="1">
      <c r="A96" s="17">
        <f t="shared" si="8"/>
        <v>0</v>
      </c>
      <c r="B96" s="16"/>
      <c r="C96" s="25"/>
      <c r="D96" s="26"/>
      <c r="E96" s="16">
        <f>IF(A96&lt;=ReferenceTable!$H$1,ROUNDUP(C96*96,0),ROUNDDOWN(C96*96,0))</f>
        <v>0</v>
      </c>
      <c r="F96" s="39">
        <f t="shared" si="11"/>
        <v>0</v>
      </c>
      <c r="G96" s="40">
        <f t="shared" si="15"/>
        <v>0</v>
      </c>
      <c r="H96" s="40">
        <f t="shared" si="12"/>
        <v>0</v>
      </c>
      <c r="I96" s="41">
        <f t="shared" si="13"/>
        <v>0</v>
      </c>
      <c r="J96" s="41">
        <f t="shared" si="14"/>
        <v>0</v>
      </c>
      <c r="K96" s="2" t="str">
        <f t="shared" si="16"/>
        <v/>
      </c>
    </row>
    <row r="97" spans="1:11" ht="16" hidden="1">
      <c r="A97" s="17">
        <f t="shared" si="8"/>
        <v>0</v>
      </c>
      <c r="B97" s="16"/>
      <c r="C97" s="25"/>
      <c r="D97" s="26"/>
      <c r="E97" s="16">
        <f>IF(A97&lt;=ReferenceTable!$H$1,ROUNDUP(C97*96,0),ROUNDDOWN(C97*96,0))</f>
        <v>0</v>
      </c>
      <c r="F97" s="39">
        <f t="shared" si="11"/>
        <v>0</v>
      </c>
      <c r="G97" s="40">
        <f t="shared" si="15"/>
        <v>0</v>
      </c>
      <c r="H97" s="40">
        <f t="shared" si="12"/>
        <v>0</v>
      </c>
      <c r="I97" s="41">
        <f t="shared" si="13"/>
        <v>0</v>
      </c>
      <c r="J97" s="41">
        <f t="shared" si="14"/>
        <v>0</v>
      </c>
      <c r="K97" s="2" t="str">
        <f t="shared" si="16"/>
        <v/>
      </c>
    </row>
    <row r="98" spans="1:11" ht="16" hidden="1">
      <c r="A98" s="17">
        <f t="shared" si="8"/>
        <v>0</v>
      </c>
      <c r="B98" s="16"/>
      <c r="C98" s="25"/>
      <c r="D98" s="26"/>
      <c r="E98" s="16">
        <f>IF(A98&lt;=ReferenceTable!$H$1,ROUNDUP(C98*96,0),ROUNDDOWN(C98*96,0))</f>
        <v>0</v>
      </c>
      <c r="F98" s="39">
        <f t="shared" si="11"/>
        <v>0</v>
      </c>
      <c r="G98" s="40">
        <f t="shared" si="15"/>
        <v>0</v>
      </c>
      <c r="H98" s="40">
        <f t="shared" si="12"/>
        <v>0</v>
      </c>
      <c r="I98" s="41">
        <f t="shared" si="13"/>
        <v>0</v>
      </c>
      <c r="J98" s="41">
        <f t="shared" si="14"/>
        <v>0</v>
      </c>
      <c r="K98" s="2" t="str">
        <f t="shared" si="16"/>
        <v/>
      </c>
    </row>
    <row r="99" spans="1:11" ht="16" hidden="1">
      <c r="A99" s="17">
        <f t="shared" si="8"/>
        <v>0</v>
      </c>
      <c r="B99" s="16"/>
      <c r="C99" s="25"/>
      <c r="D99" s="26"/>
      <c r="E99" s="16">
        <f>IF(A99&lt;=ReferenceTable!$H$1,ROUNDUP(C99*96,0),ROUNDDOWN(C99*96,0))</f>
        <v>0</v>
      </c>
      <c r="F99" s="39">
        <f t="shared" si="11"/>
        <v>0</v>
      </c>
      <c r="G99" s="40">
        <f t="shared" si="15"/>
        <v>0</v>
      </c>
      <c r="H99" s="40">
        <f t="shared" si="12"/>
        <v>0</v>
      </c>
      <c r="I99" s="41">
        <f t="shared" si="13"/>
        <v>0</v>
      </c>
      <c r="J99" s="41">
        <f t="shared" si="14"/>
        <v>0</v>
      </c>
      <c r="K99" s="2" t="str">
        <f t="shared" si="16"/>
        <v/>
      </c>
    </row>
    <row r="100" spans="1:11" ht="16" hidden="1">
      <c r="A100" s="17">
        <f t="shared" si="8"/>
        <v>0</v>
      </c>
      <c r="B100" s="16"/>
      <c r="C100" s="25"/>
      <c r="D100" s="26"/>
      <c r="E100" s="16">
        <f>IF(A100&lt;=ReferenceTable!$H$1,ROUNDUP(C100*96,0),ROUNDDOWN(C100*96,0))</f>
        <v>0</v>
      </c>
      <c r="F100" s="39">
        <f t="shared" si="11"/>
        <v>0</v>
      </c>
      <c r="G100" s="40">
        <f t="shared" si="15"/>
        <v>0</v>
      </c>
      <c r="H100" s="40">
        <f t="shared" si="12"/>
        <v>0</v>
      </c>
      <c r="I100" s="41">
        <f t="shared" si="13"/>
        <v>0</v>
      </c>
      <c r="J100" s="41">
        <f t="shared" si="14"/>
        <v>0</v>
      </c>
      <c r="K100" s="2" t="str">
        <f t="shared" si="16"/>
        <v/>
      </c>
    </row>
    <row r="101" spans="1:11" ht="16" hidden="1">
      <c r="A101" s="17">
        <f t="shared" si="8"/>
        <v>0</v>
      </c>
      <c r="B101" s="16"/>
      <c r="C101" s="25"/>
      <c r="D101" s="26"/>
      <c r="E101" s="16">
        <f>IF(A101&lt;=ReferenceTable!$H$1,ROUNDUP(C101*96,0),ROUNDDOWN(C101*96,0))</f>
        <v>0</v>
      </c>
      <c r="F101" s="39">
        <f t="shared" si="11"/>
        <v>0</v>
      </c>
      <c r="G101" s="40">
        <f t="shared" si="15"/>
        <v>0</v>
      </c>
      <c r="H101" s="40">
        <f t="shared" si="12"/>
        <v>0</v>
      </c>
      <c r="I101" s="41">
        <f t="shared" si="13"/>
        <v>0</v>
      </c>
      <c r="J101" s="41">
        <f t="shared" si="14"/>
        <v>0</v>
      </c>
      <c r="K101" s="2" t="str">
        <f t="shared" si="16"/>
        <v/>
      </c>
    </row>
    <row r="102" spans="1:11" ht="16" hidden="1">
      <c r="A102" s="17">
        <f t="shared" si="8"/>
        <v>0</v>
      </c>
      <c r="B102" s="16"/>
      <c r="C102" s="25"/>
      <c r="D102" s="26"/>
      <c r="E102" s="16">
        <f>IF(A102&lt;=ReferenceTable!$H$1,ROUNDUP(C102*96,0),ROUNDDOWN(C102*96,0))</f>
        <v>0</v>
      </c>
      <c r="F102" s="39">
        <f t="shared" si="11"/>
        <v>0</v>
      </c>
      <c r="G102" s="40">
        <f t="shared" si="15"/>
        <v>0</v>
      </c>
      <c r="H102" s="40">
        <f t="shared" si="12"/>
        <v>0</v>
      </c>
      <c r="I102" s="41">
        <f t="shared" si="13"/>
        <v>0</v>
      </c>
      <c r="J102" s="41">
        <f t="shared" si="14"/>
        <v>0</v>
      </c>
      <c r="K102" s="2" t="str">
        <f t="shared" si="16"/>
        <v/>
      </c>
    </row>
    <row r="103" spans="1:11" ht="16" hidden="1">
      <c r="A103" s="17">
        <f t="shared" si="8"/>
        <v>0</v>
      </c>
      <c r="B103" s="16"/>
      <c r="C103" s="25"/>
      <c r="D103" s="26"/>
      <c r="E103" s="16">
        <f>IF(A103&lt;=ReferenceTable!$H$1,ROUNDUP(C103*96,0),ROUNDDOWN(C103*96,0))</f>
        <v>0</v>
      </c>
      <c r="F103" s="39">
        <f t="shared" si="11"/>
        <v>0</v>
      </c>
      <c r="G103" s="40">
        <f t="shared" si="15"/>
        <v>0</v>
      </c>
      <c r="H103" s="40">
        <f t="shared" si="12"/>
        <v>0</v>
      </c>
      <c r="I103" s="41">
        <f t="shared" si="13"/>
        <v>0</v>
      </c>
      <c r="J103" s="41">
        <f t="shared" si="14"/>
        <v>0</v>
      </c>
      <c r="K103" s="2" t="str">
        <f t="shared" si="16"/>
        <v/>
      </c>
    </row>
    <row r="104" spans="1:11" ht="16" hidden="1">
      <c r="A104" s="17">
        <f t="shared" si="8"/>
        <v>0</v>
      </c>
      <c r="B104" s="16"/>
      <c r="C104" s="25"/>
      <c r="D104" s="26"/>
      <c r="E104" s="16">
        <f>IF(A104&lt;=ReferenceTable!$H$1,ROUNDUP(C104*96,0),ROUNDDOWN(C104*96,0))</f>
        <v>0</v>
      </c>
      <c r="F104" s="39">
        <f t="shared" si="11"/>
        <v>0</v>
      </c>
      <c r="G104" s="40">
        <f t="shared" si="15"/>
        <v>0</v>
      </c>
      <c r="H104" s="40">
        <f t="shared" si="12"/>
        <v>0</v>
      </c>
      <c r="I104" s="41">
        <f t="shared" si="13"/>
        <v>0</v>
      </c>
      <c r="J104" s="41">
        <f t="shared" si="14"/>
        <v>0</v>
      </c>
      <c r="K104" s="2" t="str">
        <f t="shared" si="16"/>
        <v/>
      </c>
    </row>
    <row r="105" spans="1:11" ht="16" hidden="1">
      <c r="A105" s="17">
        <f t="shared" si="8"/>
        <v>0</v>
      </c>
      <c r="B105" s="16"/>
      <c r="C105" s="25"/>
      <c r="D105" s="26"/>
      <c r="E105" s="16">
        <f>IF(A105&lt;=ReferenceTable!$H$1,ROUNDUP(C105*96,0),ROUNDDOWN(C105*96,0))</f>
        <v>0</v>
      </c>
      <c r="F105" s="39">
        <f t="shared" si="11"/>
        <v>0</v>
      </c>
      <c r="G105" s="40">
        <f t="shared" si="15"/>
        <v>0</v>
      </c>
      <c r="H105" s="40">
        <f t="shared" si="12"/>
        <v>0</v>
      </c>
      <c r="I105" s="41">
        <f t="shared" si="13"/>
        <v>0</v>
      </c>
      <c r="J105" s="41">
        <f t="shared" si="14"/>
        <v>0</v>
      </c>
      <c r="K105" s="2" t="str">
        <f t="shared" si="16"/>
        <v/>
      </c>
    </row>
    <row r="106" spans="1:11" ht="16" hidden="1">
      <c r="A106" s="17">
        <f t="shared" si="8"/>
        <v>0</v>
      </c>
      <c r="B106" s="16"/>
      <c r="C106" s="25"/>
      <c r="D106" s="26"/>
      <c r="E106" s="16">
        <f>IF(A106&lt;=ReferenceTable!$H$1,ROUNDUP(C106*96,0),ROUNDDOWN(C106*96,0))</f>
        <v>0</v>
      </c>
      <c r="F106" s="39">
        <f t="shared" si="11"/>
        <v>0</v>
      </c>
      <c r="G106" s="40">
        <f t="shared" si="15"/>
        <v>0</v>
      </c>
      <c r="H106" s="40">
        <f t="shared" si="12"/>
        <v>0</v>
      </c>
      <c r="I106" s="41">
        <f t="shared" si="13"/>
        <v>0</v>
      </c>
      <c r="J106" s="41">
        <f t="shared" si="14"/>
        <v>0</v>
      </c>
      <c r="K106" s="2" t="str">
        <f t="shared" si="16"/>
        <v/>
      </c>
    </row>
    <row r="107" spans="1:11" ht="16" hidden="1">
      <c r="A107" s="17">
        <f t="shared" si="8"/>
        <v>0</v>
      </c>
      <c r="B107" s="16"/>
      <c r="C107" s="25"/>
      <c r="D107" s="26"/>
      <c r="E107" s="16">
        <f>IF(A107&lt;=ReferenceTable!$H$1,ROUNDUP(C107*96,0),ROUNDDOWN(C107*96,0))</f>
        <v>0</v>
      </c>
      <c r="F107" s="39">
        <f t="shared" si="11"/>
        <v>0</v>
      </c>
      <c r="G107" s="40">
        <f t="shared" si="15"/>
        <v>0</v>
      </c>
      <c r="H107" s="40">
        <f t="shared" si="12"/>
        <v>0</v>
      </c>
      <c r="I107" s="41">
        <f t="shared" si="13"/>
        <v>0</v>
      </c>
      <c r="J107" s="41">
        <f t="shared" si="14"/>
        <v>0</v>
      </c>
      <c r="K107" s="2" t="str">
        <f t="shared" si="16"/>
        <v/>
      </c>
    </row>
    <row r="108" spans="1:11" ht="16" hidden="1">
      <c r="A108" s="17">
        <f t="shared" si="8"/>
        <v>0</v>
      </c>
      <c r="B108" s="16"/>
      <c r="C108" s="25"/>
      <c r="D108" s="26"/>
      <c r="E108" s="16">
        <f>IF(A108&lt;=ReferenceTable!$H$1,ROUNDUP(C108*96,0),ROUNDDOWN(C108*96,0))</f>
        <v>0</v>
      </c>
      <c r="F108" s="39">
        <f t="shared" si="11"/>
        <v>0</v>
      </c>
      <c r="G108" s="40">
        <f t="shared" si="15"/>
        <v>0</v>
      </c>
      <c r="H108" s="40">
        <f t="shared" si="12"/>
        <v>0</v>
      </c>
      <c r="I108" s="41">
        <f t="shared" si="13"/>
        <v>0</v>
      </c>
      <c r="J108" s="41">
        <f t="shared" si="14"/>
        <v>0</v>
      </c>
      <c r="K108" s="2" t="str">
        <f t="shared" si="16"/>
        <v/>
      </c>
    </row>
    <row r="109" spans="1:11" ht="16" hidden="1">
      <c r="A109" s="17">
        <f t="shared" si="8"/>
        <v>0</v>
      </c>
      <c r="B109" s="16"/>
      <c r="C109" s="25"/>
      <c r="D109" s="26"/>
      <c r="E109" s="16">
        <f>IF(A109&lt;=ReferenceTable!$H$1,ROUNDUP(C109*96,0),ROUNDDOWN(C109*96,0))</f>
        <v>0</v>
      </c>
      <c r="F109" s="39">
        <f t="shared" si="11"/>
        <v>0</v>
      </c>
      <c r="G109" s="40">
        <f t="shared" si="15"/>
        <v>0</v>
      </c>
      <c r="H109" s="40">
        <f t="shared" si="12"/>
        <v>0</v>
      </c>
      <c r="I109" s="41">
        <f t="shared" si="13"/>
        <v>0</v>
      </c>
      <c r="J109" s="41">
        <f t="shared" si="14"/>
        <v>0</v>
      </c>
      <c r="K109" s="2" t="str">
        <f t="shared" si="16"/>
        <v/>
      </c>
    </row>
    <row r="110" spans="1:11" ht="16" hidden="1">
      <c r="A110" s="17">
        <f t="shared" si="8"/>
        <v>0</v>
      </c>
      <c r="B110" s="16"/>
      <c r="C110" s="25"/>
      <c r="D110" s="26"/>
      <c r="E110" s="16">
        <f>IF(A110&lt;=ReferenceTable!$H$1,ROUNDUP(C110*96,0),ROUNDDOWN(C110*96,0))</f>
        <v>0</v>
      </c>
      <c r="F110" s="39">
        <f t="shared" si="11"/>
        <v>0</v>
      </c>
      <c r="G110" s="40">
        <f t="shared" si="15"/>
        <v>0</v>
      </c>
      <c r="H110" s="40">
        <f t="shared" si="12"/>
        <v>0</v>
      </c>
      <c r="I110" s="41">
        <f t="shared" si="13"/>
        <v>0</v>
      </c>
      <c r="J110" s="41">
        <f t="shared" si="14"/>
        <v>0</v>
      </c>
      <c r="K110" s="2" t="str">
        <f t="shared" si="16"/>
        <v/>
      </c>
    </row>
    <row r="111" spans="1:11" ht="16" hidden="1">
      <c r="A111" s="17">
        <f t="shared" si="8"/>
        <v>0</v>
      </c>
      <c r="B111" s="16"/>
      <c r="C111" s="25"/>
      <c r="D111" s="26"/>
      <c r="E111" s="16">
        <f>IF(A111&lt;=ReferenceTable!$H$1,ROUNDUP(C111*96,0),ROUNDDOWN(C111*96,0))</f>
        <v>0</v>
      </c>
      <c r="F111" s="39">
        <f t="shared" si="11"/>
        <v>0</v>
      </c>
      <c r="G111" s="40">
        <f t="shared" si="15"/>
        <v>0</v>
      </c>
      <c r="H111" s="40">
        <f t="shared" si="12"/>
        <v>0</v>
      </c>
      <c r="I111" s="41">
        <f t="shared" si="13"/>
        <v>0</v>
      </c>
      <c r="J111" s="41">
        <f t="shared" si="14"/>
        <v>0</v>
      </c>
      <c r="K111" s="2" t="str">
        <f t="shared" si="16"/>
        <v/>
      </c>
    </row>
    <row r="112" spans="1:11" ht="16" hidden="1">
      <c r="A112" s="17">
        <f t="shared" si="8"/>
        <v>0</v>
      </c>
      <c r="B112" s="16"/>
      <c r="C112" s="25"/>
      <c r="D112" s="26"/>
      <c r="E112" s="16">
        <f>IF(A112&lt;=ReferenceTable!$H$1,ROUNDUP(C112*96,0),ROUNDDOWN(C112*96,0))</f>
        <v>0</v>
      </c>
      <c r="F112" s="39">
        <f t="shared" si="11"/>
        <v>0</v>
      </c>
      <c r="G112" s="40">
        <f t="shared" si="15"/>
        <v>0</v>
      </c>
      <c r="H112" s="40">
        <f t="shared" si="12"/>
        <v>0</v>
      </c>
      <c r="I112" s="41">
        <f t="shared" si="13"/>
        <v>0</v>
      </c>
      <c r="J112" s="41">
        <f t="shared" si="14"/>
        <v>0</v>
      </c>
      <c r="K112" s="2" t="str">
        <f t="shared" si="16"/>
        <v/>
      </c>
    </row>
    <row r="113" spans="1:20" ht="16" hidden="1">
      <c r="A113" s="17">
        <f t="shared" si="8"/>
        <v>0</v>
      </c>
      <c r="B113" s="16"/>
      <c r="C113" s="25"/>
      <c r="D113" s="26"/>
      <c r="E113" s="16">
        <f>IF(A113&lt;=ReferenceTable!$H$1,ROUNDUP(C113*96,0),ROUNDDOWN(C113*96,0))</f>
        <v>0</v>
      </c>
      <c r="F113" s="39">
        <f t="shared" si="11"/>
        <v>0</v>
      </c>
      <c r="G113" s="40">
        <f t="shared" si="15"/>
        <v>0</v>
      </c>
      <c r="H113" s="40">
        <f t="shared" si="12"/>
        <v>0</v>
      </c>
      <c r="I113" s="41">
        <f t="shared" si="13"/>
        <v>0</v>
      </c>
      <c r="J113" s="41">
        <f t="shared" si="14"/>
        <v>0</v>
      </c>
      <c r="K113" s="2" t="str">
        <f t="shared" si="16"/>
        <v/>
      </c>
    </row>
    <row r="114" spans="1:20" ht="16" hidden="1">
      <c r="A114" s="17">
        <f t="shared" si="8"/>
        <v>0</v>
      </c>
      <c r="B114" s="16"/>
      <c r="C114" s="25"/>
      <c r="D114" s="26"/>
      <c r="E114" s="16">
        <f>IF(A114&lt;=ReferenceTable!$H$1,ROUNDUP(C114*96,0),ROUNDDOWN(C114*96,0))</f>
        <v>0</v>
      </c>
      <c r="F114" s="39">
        <f t="shared" si="11"/>
        <v>0</v>
      </c>
      <c r="G114" s="40">
        <f t="shared" si="15"/>
        <v>0</v>
      </c>
      <c r="H114" s="40">
        <f t="shared" si="12"/>
        <v>0</v>
      </c>
      <c r="I114" s="41">
        <f t="shared" si="13"/>
        <v>0</v>
      </c>
      <c r="J114" s="41">
        <f t="shared" si="14"/>
        <v>0</v>
      </c>
      <c r="K114" s="2" t="str">
        <f t="shared" si="16"/>
        <v/>
      </c>
    </row>
    <row r="115" spans="1:20" ht="16" hidden="1">
      <c r="A115" s="17">
        <f t="shared" si="8"/>
        <v>0</v>
      </c>
      <c r="B115" s="16"/>
      <c r="C115" s="25"/>
      <c r="D115" s="26"/>
      <c r="E115" s="16">
        <f>IF(A115&lt;=ReferenceTable!$H$1,ROUNDUP(C115*96,0),ROUNDDOWN(C115*96,0))</f>
        <v>0</v>
      </c>
      <c r="F115" s="39">
        <f t="shared" si="11"/>
        <v>0</v>
      </c>
      <c r="G115" s="40">
        <f t="shared" si="15"/>
        <v>0</v>
      </c>
      <c r="H115" s="40">
        <f t="shared" si="12"/>
        <v>0</v>
      </c>
      <c r="I115" s="41">
        <f t="shared" si="13"/>
        <v>0</v>
      </c>
      <c r="J115" s="41">
        <f t="shared" si="14"/>
        <v>0</v>
      </c>
      <c r="K115" s="2" t="str">
        <f t="shared" si="16"/>
        <v/>
      </c>
    </row>
    <row r="116" spans="1:20" ht="16" hidden="1">
      <c r="A116" s="17">
        <f t="shared" si="8"/>
        <v>0</v>
      </c>
      <c r="B116" s="16"/>
      <c r="C116" s="25"/>
      <c r="D116" s="26"/>
      <c r="E116" s="16">
        <f>IF(A116&lt;=ReferenceTable!$H$1,ROUNDUP(C116*96,0),ROUNDDOWN(C116*96,0))</f>
        <v>0</v>
      </c>
      <c r="F116" s="39">
        <f t="shared" si="11"/>
        <v>0</v>
      </c>
      <c r="G116" s="40">
        <f t="shared" si="15"/>
        <v>0</v>
      </c>
      <c r="H116" s="40">
        <f t="shared" si="12"/>
        <v>0</v>
      </c>
      <c r="I116" s="41">
        <f t="shared" si="13"/>
        <v>0</v>
      </c>
      <c r="J116" s="41">
        <f t="shared" si="14"/>
        <v>0</v>
      </c>
      <c r="K116" s="2" t="str">
        <f t="shared" si="16"/>
        <v/>
      </c>
    </row>
    <row r="117" spans="1:20" ht="16" hidden="1">
      <c r="A117" s="17">
        <f t="shared" si="8"/>
        <v>0</v>
      </c>
      <c r="B117" s="16"/>
      <c r="C117" s="25"/>
      <c r="D117" s="26"/>
      <c r="E117" s="16">
        <f>IF(A117&lt;=ReferenceTable!$H$1,ROUNDUP(C117*96,0),ROUNDDOWN(C117*96,0))</f>
        <v>0</v>
      </c>
      <c r="F117" s="39">
        <f t="shared" si="11"/>
        <v>0</v>
      </c>
      <c r="G117" s="40">
        <f t="shared" si="15"/>
        <v>0</v>
      </c>
      <c r="H117" s="40">
        <f t="shared" si="12"/>
        <v>0</v>
      </c>
      <c r="I117" s="41">
        <f t="shared" si="13"/>
        <v>0</v>
      </c>
      <c r="J117" s="41">
        <f t="shared" si="14"/>
        <v>0</v>
      </c>
      <c r="K117" s="2" t="str">
        <f t="shared" si="16"/>
        <v/>
      </c>
    </row>
    <row r="118" spans="1:20" ht="16" hidden="1">
      <c r="A118" s="17">
        <f t="shared" si="8"/>
        <v>0</v>
      </c>
      <c r="B118" s="16"/>
      <c r="C118" s="25"/>
      <c r="D118" s="26"/>
      <c r="E118" s="16">
        <f>IF(A118&lt;=ReferenceTable!$H$1,ROUNDUP(C118*96,0),ROUNDDOWN(C118*96,0))</f>
        <v>0</v>
      </c>
      <c r="F118" s="39">
        <f t="shared" si="11"/>
        <v>0</v>
      </c>
      <c r="G118" s="40">
        <f t="shared" si="15"/>
        <v>0</v>
      </c>
      <c r="H118" s="40">
        <f t="shared" si="12"/>
        <v>0</v>
      </c>
      <c r="I118" s="41">
        <f t="shared" si="13"/>
        <v>0</v>
      </c>
      <c r="J118" s="41">
        <f t="shared" si="14"/>
        <v>0</v>
      </c>
      <c r="K118" s="2" t="str">
        <f t="shared" si="16"/>
        <v/>
      </c>
    </row>
    <row r="119" spans="1:20" ht="16" hidden="1">
      <c r="A119" s="17">
        <f t="shared" si="8"/>
        <v>0</v>
      </c>
      <c r="B119" s="16"/>
      <c r="C119" s="25"/>
      <c r="D119" s="26"/>
      <c r="E119" s="16">
        <f>IF(A119&lt;=ReferenceTable!$H$1,ROUNDUP(C119*96,0),ROUNDDOWN(C119*96,0))</f>
        <v>0</v>
      </c>
      <c r="F119" s="39">
        <f t="shared" si="11"/>
        <v>0</v>
      </c>
      <c r="G119" s="40">
        <f t="shared" si="15"/>
        <v>0</v>
      </c>
      <c r="H119" s="40">
        <f t="shared" si="12"/>
        <v>0</v>
      </c>
      <c r="I119" s="41">
        <f t="shared" si="13"/>
        <v>0</v>
      </c>
      <c r="J119" s="41">
        <f t="shared" si="14"/>
        <v>0</v>
      </c>
      <c r="K119" s="2" t="str">
        <f t="shared" si="16"/>
        <v/>
      </c>
    </row>
    <row r="120" spans="1:20" ht="16" hidden="1">
      <c r="A120" s="17">
        <f t="shared" si="8"/>
        <v>0</v>
      </c>
      <c r="B120" s="16"/>
      <c r="C120" s="25"/>
      <c r="D120" s="26"/>
      <c r="E120" s="16">
        <f>IF(A120&lt;=ReferenceTable!$H$1,ROUNDUP(C120*96,0),ROUNDDOWN(C120*96,0))</f>
        <v>0</v>
      </c>
      <c r="F120" s="39">
        <f t="shared" si="11"/>
        <v>0</v>
      </c>
      <c r="G120" s="40">
        <f t="shared" si="15"/>
        <v>0</v>
      </c>
      <c r="H120" s="40">
        <f t="shared" si="12"/>
        <v>0</v>
      </c>
      <c r="I120" s="41">
        <f t="shared" si="13"/>
        <v>0</v>
      </c>
      <c r="J120" s="41">
        <f t="shared" si="14"/>
        <v>0</v>
      </c>
      <c r="K120" s="2" t="str">
        <f t="shared" si="16"/>
        <v/>
      </c>
    </row>
    <row r="121" spans="1:20" ht="16" hidden="1">
      <c r="A121" s="17">
        <f t="shared" si="8"/>
        <v>0</v>
      </c>
      <c r="B121" s="16"/>
      <c r="C121" s="25"/>
      <c r="D121" s="26"/>
      <c r="E121" s="16">
        <f>IF(A121&lt;=ReferenceTable!$H$1,ROUNDUP(C121*96,0),ROUNDDOWN(C121*96,0))</f>
        <v>0</v>
      </c>
      <c r="F121" s="39">
        <f t="shared" si="11"/>
        <v>0</v>
      </c>
      <c r="G121" s="40">
        <f t="shared" si="15"/>
        <v>0</v>
      </c>
      <c r="H121" s="40">
        <f t="shared" si="12"/>
        <v>0</v>
      </c>
      <c r="I121" s="41">
        <f t="shared" si="13"/>
        <v>0</v>
      </c>
      <c r="J121" s="41">
        <f t="shared" si="14"/>
        <v>0</v>
      </c>
      <c r="K121" s="2" t="str">
        <f t="shared" si="16"/>
        <v/>
      </c>
    </row>
    <row r="122" spans="1:20" ht="16" hidden="1">
      <c r="A122" s="17">
        <f t="shared" si="8"/>
        <v>0</v>
      </c>
      <c r="B122" s="16"/>
      <c r="C122" s="25"/>
      <c r="D122" s="26"/>
      <c r="E122" s="16">
        <f>IF(A122&lt;=ReferenceTable!$H$1,ROUNDUP(C122*96,0),ROUNDDOWN(C122*96,0))</f>
        <v>0</v>
      </c>
      <c r="F122" s="39">
        <f t="shared" si="11"/>
        <v>0</v>
      </c>
      <c r="G122" s="40">
        <f t="shared" si="15"/>
        <v>0</v>
      </c>
      <c r="H122" s="40">
        <f t="shared" si="12"/>
        <v>0</v>
      </c>
      <c r="I122" s="41">
        <f t="shared" si="13"/>
        <v>0</v>
      </c>
      <c r="J122" s="41">
        <f t="shared" si="14"/>
        <v>0</v>
      </c>
      <c r="K122" s="2" t="str">
        <f t="shared" si="16"/>
        <v/>
      </c>
    </row>
    <row r="123" spans="1:20" hidden="1"/>
    <row r="124" spans="1:20" hidden="1">
      <c r="E124" s="3"/>
    </row>
    <row r="125" spans="1:20" ht="16">
      <c r="A125" s="20" t="s">
        <v>15</v>
      </c>
      <c r="B125" s="20"/>
      <c r="C125" s="36">
        <f>SUM(C27:C122)</f>
        <v>0.99213333100000001</v>
      </c>
      <c r="D125" s="36"/>
      <c r="E125" s="37">
        <f>SUM(E27:E122)</f>
        <v>96</v>
      </c>
      <c r="F125" s="37">
        <f>SUM($F$27:$F$122)</f>
        <v>992133.33099999954</v>
      </c>
      <c r="G125" s="20"/>
      <c r="H125" s="38"/>
      <c r="I125" s="20"/>
      <c r="J125" s="20"/>
    </row>
    <row r="126" spans="1:20" hidden="1">
      <c r="C126" s="1" t="str">
        <f>IF($C$125=1,0,"Percentage Must Add Up to 100%")</f>
        <v>Percentage Must Add Up to 100%</v>
      </c>
    </row>
    <row r="127" spans="1:20" ht="16">
      <c r="A127" s="10"/>
      <c r="B127" s="10"/>
      <c r="C127" s="10"/>
      <c r="D127" s="10"/>
      <c r="E127" s="18"/>
      <c r="F127" s="18"/>
      <c r="G127" s="10"/>
      <c r="H127" s="18"/>
      <c r="I127" s="18"/>
      <c r="J127" s="18"/>
      <c r="K127" s="3"/>
      <c r="L127" s="3"/>
      <c r="M127" s="3"/>
      <c r="N127" s="3"/>
      <c r="O127" s="3"/>
      <c r="P127" s="3"/>
      <c r="Q127" s="3"/>
      <c r="R127" s="3"/>
      <c r="S127" s="3"/>
      <c r="T127" s="3"/>
    </row>
    <row r="128" spans="1:20" ht="21">
      <c r="A128" s="32" t="s">
        <v>44</v>
      </c>
      <c r="B128" s="43" t="s">
        <v>81</v>
      </c>
      <c r="C128" s="44"/>
      <c r="D128" s="44"/>
      <c r="E128" s="44"/>
      <c r="F128" s="44"/>
      <c r="G128" s="44"/>
      <c r="H128" s="44"/>
      <c r="I128" s="44"/>
      <c r="J128" s="45"/>
      <c r="K128" s="3"/>
      <c r="L128" s="3"/>
      <c r="M128" s="3"/>
      <c r="N128" s="3"/>
      <c r="O128" s="3"/>
      <c r="P128" s="3"/>
      <c r="Q128" s="3"/>
      <c r="R128" s="3"/>
      <c r="S128" s="3"/>
      <c r="T128" s="3"/>
    </row>
    <row r="129" spans="1:20" ht="16">
      <c r="A129" s="33"/>
      <c r="B129" s="46"/>
      <c r="C129" s="47"/>
      <c r="D129" s="47"/>
      <c r="E129" s="47"/>
      <c r="F129" s="47"/>
      <c r="G129" s="47"/>
      <c r="H129" s="47"/>
      <c r="I129" s="47"/>
      <c r="J129" s="48"/>
      <c r="K129" s="3"/>
      <c r="L129" s="3"/>
      <c r="M129" s="3"/>
      <c r="N129" s="3"/>
      <c r="O129" s="3"/>
      <c r="P129" s="3"/>
      <c r="Q129" s="3"/>
      <c r="R129" s="3"/>
      <c r="S129" s="3"/>
      <c r="T129" s="3"/>
    </row>
    <row r="130" spans="1:20" ht="16">
      <c r="A130" s="33"/>
      <c r="B130" s="46"/>
      <c r="C130" s="47"/>
      <c r="D130" s="47"/>
      <c r="E130" s="47"/>
      <c r="F130" s="47"/>
      <c r="G130" s="47"/>
      <c r="H130" s="47"/>
      <c r="I130" s="47"/>
      <c r="J130" s="48"/>
      <c r="K130" s="3"/>
      <c r="L130" s="3"/>
      <c r="M130" s="3"/>
      <c r="N130" s="3"/>
      <c r="O130" s="3"/>
      <c r="P130" s="3"/>
      <c r="Q130" s="3"/>
      <c r="R130" s="3"/>
      <c r="S130" s="3"/>
      <c r="T130" s="3"/>
    </row>
    <row r="131" spans="1:20" ht="16">
      <c r="A131" s="33"/>
      <c r="B131" s="46"/>
      <c r="C131" s="47"/>
      <c r="D131" s="47"/>
      <c r="E131" s="47"/>
      <c r="F131" s="47"/>
      <c r="G131" s="47"/>
      <c r="H131" s="47"/>
      <c r="I131" s="47"/>
      <c r="J131" s="48"/>
      <c r="K131" s="3"/>
      <c r="L131" s="3"/>
      <c r="M131" s="3"/>
      <c r="N131" s="3"/>
      <c r="O131" s="3"/>
      <c r="P131" s="3"/>
      <c r="Q131" s="3"/>
      <c r="R131" s="3"/>
      <c r="S131" s="3"/>
      <c r="T131" s="3"/>
    </row>
    <row r="132" spans="1:20" ht="16">
      <c r="A132" s="33"/>
      <c r="B132" s="46"/>
      <c r="C132" s="47"/>
      <c r="D132" s="47"/>
      <c r="E132" s="47"/>
      <c r="F132" s="47"/>
      <c r="G132" s="47"/>
      <c r="H132" s="47"/>
      <c r="I132" s="47"/>
      <c r="J132" s="48"/>
    </row>
    <row r="133" spans="1:20" ht="16">
      <c r="A133" s="33"/>
      <c r="B133" s="46"/>
      <c r="C133" s="47"/>
      <c r="D133" s="47"/>
      <c r="E133" s="47"/>
      <c r="F133" s="47"/>
      <c r="G133" s="47"/>
      <c r="H133" s="47"/>
      <c r="I133" s="47"/>
      <c r="J133" s="48"/>
    </row>
    <row r="134" spans="1:20" ht="16">
      <c r="A134" s="33"/>
      <c r="B134" s="46"/>
      <c r="C134" s="47"/>
      <c r="D134" s="47"/>
      <c r="E134" s="47"/>
      <c r="F134" s="47"/>
      <c r="G134" s="47"/>
      <c r="H134" s="47"/>
      <c r="I134" s="47"/>
      <c r="J134" s="48"/>
    </row>
    <row r="135" spans="1:20" ht="16">
      <c r="A135" s="33"/>
      <c r="B135" s="46"/>
      <c r="C135" s="47"/>
      <c r="D135" s="47"/>
      <c r="E135" s="47"/>
      <c r="F135" s="47"/>
      <c r="G135" s="47"/>
      <c r="H135" s="47"/>
      <c r="I135" s="47"/>
      <c r="J135" s="48"/>
    </row>
    <row r="136" spans="1:20" ht="16">
      <c r="A136" s="33"/>
      <c r="B136" s="46"/>
      <c r="C136" s="47"/>
      <c r="D136" s="47"/>
      <c r="E136" s="47"/>
      <c r="F136" s="47"/>
      <c r="G136" s="47"/>
      <c r="H136" s="47"/>
      <c r="I136" s="47"/>
      <c r="J136" s="48"/>
    </row>
    <row r="137" spans="1:20" ht="16">
      <c r="A137" s="33"/>
      <c r="B137" s="46"/>
      <c r="C137" s="47"/>
      <c r="D137" s="47"/>
      <c r="E137" s="47"/>
      <c r="F137" s="47"/>
      <c r="G137" s="47"/>
      <c r="H137" s="47"/>
      <c r="I137" s="47"/>
      <c r="J137" s="48"/>
    </row>
    <row r="138" spans="1:20" ht="16">
      <c r="A138" s="33"/>
      <c r="B138" s="49"/>
      <c r="C138" s="50"/>
      <c r="D138" s="50"/>
      <c r="E138" s="50"/>
      <c r="F138" s="50"/>
      <c r="G138" s="50"/>
      <c r="H138" s="50"/>
      <c r="I138" s="50"/>
      <c r="J138" s="51"/>
    </row>
  </sheetData>
  <sheetProtection sheet="1" sort="0" autoFilter="0" pivotTables="0"/>
  <protectedRanges>
    <protectedRange sqref="C23:C24 B27:E122" name="Customer_Info"/>
    <protectedRange sqref="B128" name="Customer_Info_1"/>
  </protectedRanges>
  <autoFilter ref="A26:A126" xr:uid="{00000000-0009-0000-0000-000000000000}">
    <filterColumn colId="0">
      <customFilters>
        <customFilter operator="notEqual" val=" "/>
      </customFilters>
    </filterColumn>
  </autoFilter>
  <mergeCells count="13">
    <mergeCell ref="C9:I9"/>
    <mergeCell ref="C10:I10"/>
    <mergeCell ref="C11:I11"/>
    <mergeCell ref="C12:I12"/>
    <mergeCell ref="C13:I13"/>
    <mergeCell ref="B128:J138"/>
    <mergeCell ref="C19:I19"/>
    <mergeCell ref="C14:I14"/>
    <mergeCell ref="B15:I17"/>
    <mergeCell ref="C20:I20"/>
    <mergeCell ref="F23:I23"/>
    <mergeCell ref="F24:I24"/>
    <mergeCell ref="C18:I18"/>
  </mergeCells>
  <conditionalFormatting sqref="K132:T132">
    <cfRule type="colorScale" priority="9">
      <colorScale>
        <cfvo type="min"/>
        <cfvo type="percentile" val="50"/>
        <cfvo type="max"/>
        <color theme="8"/>
        <color rgb="FFFF0000"/>
        <color rgb="FF63BE7B"/>
      </colorScale>
    </cfRule>
  </conditionalFormatting>
  <conditionalFormatting sqref="K128:T131">
    <cfRule type="colorScale" priority="8">
      <colorScale>
        <cfvo type="min"/>
        <cfvo type="percentile" val="50"/>
        <cfvo type="max"/>
        <color rgb="FF7030A0"/>
        <color theme="7" tint="0.59999389629810485"/>
        <color theme="9" tint="-0.249977111117893"/>
      </colorScale>
    </cfRule>
  </conditionalFormatting>
  <conditionalFormatting sqref="L23:W25">
    <cfRule type="colorScale" priority="6">
      <colorScale>
        <cfvo type="min"/>
        <cfvo type="percentile" val="50"/>
        <cfvo type="max"/>
        <color rgb="FF7030A0"/>
        <color rgb="FFFFEB84"/>
        <color rgb="FF63BE7B"/>
      </colorScale>
    </cfRule>
  </conditionalFormatting>
  <conditionalFormatting sqref="K27:K122">
    <cfRule type="notContainsBlanks" dxfId="46" priority="31" stopIfTrue="1">
      <formula>LEN(TRIM(K27))&gt;0</formula>
    </cfRule>
  </conditionalFormatting>
  <conditionalFormatting sqref="C27:C122">
    <cfRule type="expression" dxfId="45" priority="2" stopIfTrue="1">
      <formula>AND(C27&lt;0.010499,C27&lt;&gt;0)</formula>
    </cfRule>
  </conditionalFormatting>
  <conditionalFormatting sqref="F27:J122 F23:F24">
    <cfRule type="expression" dxfId="44" priority="30" stopIfTrue="1">
      <formula>OR(NOT(AND($C$125&gt;0.99,$C$125&lt;1.01)),COUNTIF($C$27:$C$122,"&gt;0")&lt;&gt;$C$23,(COUNTIF($C$27:$C$122,"&lt;0.010499")))</formula>
    </cfRule>
  </conditionalFormatting>
  <conditionalFormatting sqref="L18:W22">
    <cfRule type="colorScale" priority="1">
      <colorScale>
        <cfvo type="min"/>
        <cfvo type="percentile" val="50"/>
        <cfvo type="max"/>
        <color rgb="FF7030A0"/>
        <color rgb="FFFFEB84"/>
        <color rgb="FF63BE7B"/>
      </colorScale>
    </cfRule>
  </conditionalFormatting>
  <pageMargins left="0.7" right="0.7" top="0.75" bottom="0.75" header="0.3" footer="0.3"/>
  <pageSetup scale="38" orientation="landscape" r:id="rId1"/>
  <headerFooter>
    <oddHeader>&amp;L&amp;"M PLUS 2,Regular"&amp;12&amp;K525252Parse Biosciences
700 Dexter Ave
Suite 600
Seattle, WA 98109&amp;C&amp;G&amp;R&amp;"M PLUS 2,Regular"&amp;12&amp;K525252Support Suite:  support.parsebiosciences.com
Email: support@parsebiosciences.com
WT Mega - Version 2.0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S119"/>
  <sheetViews>
    <sheetView showGridLines="0" tabSelected="1" view="pageLayout" topLeftCell="A41" zoomScale="125" zoomScaleNormal="74" zoomScalePageLayoutView="125" workbookViewId="0">
      <selection activeCell="E24" sqref="E24:G24"/>
    </sheetView>
  </sheetViews>
  <sheetFormatPr baseColWidth="10" defaultColWidth="8.83203125" defaultRowHeight="15"/>
  <cols>
    <col min="1" max="1" width="13.5" style="1" customWidth="1"/>
    <col min="2" max="13" width="8.83203125" style="1"/>
    <col min="14" max="14" width="8.83203125" style="1" customWidth="1"/>
    <col min="15" max="15" width="8.83203125" style="1"/>
    <col min="16" max="16" width="11.83203125" style="1" bestFit="1" customWidth="1"/>
    <col min="17" max="18" width="14.5" style="1" bestFit="1" customWidth="1"/>
    <col min="19" max="19" width="26.5" style="1" bestFit="1" customWidth="1"/>
    <col min="20" max="16384" width="8.83203125" style="1"/>
  </cols>
  <sheetData>
    <row r="2" spans="1:19" s="10" customFormat="1" ht="42" customHeight="1">
      <c r="A2" s="28" t="s">
        <v>42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1:19" s="10" customFormat="1" ht="17.5" customHeight="1">
      <c r="A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</row>
    <row r="4" spans="1:19" s="10" customFormat="1" ht="18">
      <c r="A4" s="11"/>
      <c r="B4" s="12" t="s">
        <v>17</v>
      </c>
    </row>
    <row r="5" spans="1:19" s="10" customFormat="1" ht="17.5" customHeight="1">
      <c r="A5" s="29"/>
      <c r="B5" s="13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</row>
    <row r="6" spans="1:19" s="10" customFormat="1" ht="17.5" customHeight="1">
      <c r="A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</row>
    <row r="7" spans="1:19" s="10" customFormat="1" ht="21">
      <c r="A7" s="30" t="s">
        <v>43</v>
      </c>
    </row>
    <row r="8" spans="1:19" ht="17.5" customHeight="1">
      <c r="Q8" s="6"/>
      <c r="R8" s="6"/>
    </row>
    <row r="9" spans="1:19" ht="16">
      <c r="C9" s="31">
        <v>1</v>
      </c>
      <c r="D9" s="31">
        <f>C9+1</f>
        <v>2</v>
      </c>
      <c r="E9" s="31">
        <f t="shared" ref="E9:N9" si="0">D9+1</f>
        <v>3</v>
      </c>
      <c r="F9" s="31">
        <f t="shared" si="0"/>
        <v>4</v>
      </c>
      <c r="G9" s="31">
        <f t="shared" si="0"/>
        <v>5</v>
      </c>
      <c r="H9" s="31">
        <f t="shared" si="0"/>
        <v>6</v>
      </c>
      <c r="I9" s="31">
        <f t="shared" si="0"/>
        <v>7</v>
      </c>
      <c r="J9" s="31">
        <f t="shared" si="0"/>
        <v>8</v>
      </c>
      <c r="K9" s="31">
        <f t="shared" si="0"/>
        <v>9</v>
      </c>
      <c r="L9" s="31">
        <f t="shared" si="0"/>
        <v>10</v>
      </c>
      <c r="M9" s="31">
        <f>L9+1</f>
        <v>11</v>
      </c>
      <c r="N9" s="31">
        <f t="shared" si="0"/>
        <v>12</v>
      </c>
      <c r="P9" s="1" t="s">
        <v>5</v>
      </c>
      <c r="Q9" s="6" t="s">
        <v>0</v>
      </c>
      <c r="R9" s="6" t="s">
        <v>7</v>
      </c>
      <c r="S9" s="1" t="s">
        <v>6</v>
      </c>
    </row>
    <row r="10" spans="1:19" ht="18" customHeight="1">
      <c r="B10" s="31" t="s">
        <v>1</v>
      </c>
      <c r="C10" s="34">
        <f>Q10</f>
        <v>1</v>
      </c>
      <c r="D10" s="34">
        <f>Q11</f>
        <v>1</v>
      </c>
      <c r="E10" s="34">
        <f ca="1">Q12</f>
        <v>2</v>
      </c>
      <c r="F10" s="34">
        <f ca="1">Q13</f>
        <v>2</v>
      </c>
      <c r="G10" s="34">
        <f ca="1">Q14</f>
        <v>3</v>
      </c>
      <c r="H10" s="34">
        <f ca="1">Q15</f>
        <v>3</v>
      </c>
      <c r="I10" s="34">
        <f ca="1">Q16</f>
        <v>4</v>
      </c>
      <c r="J10" s="34">
        <f ca="1">Q17</f>
        <v>4</v>
      </c>
      <c r="K10" s="34">
        <f ca="1">Q18</f>
        <v>5</v>
      </c>
      <c r="L10" s="34">
        <f ca="1">Q19</f>
        <v>5</v>
      </c>
      <c r="M10" s="34">
        <f ca="1">Q20</f>
        <v>5</v>
      </c>
      <c r="N10" s="34">
        <f ca="1">Q23</f>
        <v>6</v>
      </c>
      <c r="P10" s="1">
        <v>1</v>
      </c>
      <c r="Q10" s="6">
        <f>1</f>
        <v>1</v>
      </c>
      <c r="R10" s="6">
        <f>'Sample Loading Table'!E27</f>
        <v>2</v>
      </c>
      <c r="S10" s="1">
        <f>COUNTIF($Q$10:Q10,Q10)</f>
        <v>1</v>
      </c>
    </row>
    <row r="11" spans="1:19" ht="18" customHeight="1">
      <c r="B11" s="31" t="s">
        <v>2</v>
      </c>
      <c r="C11" s="34">
        <f ca="1">Q24</f>
        <v>6</v>
      </c>
      <c r="D11" s="34">
        <f ca="1">Q25</f>
        <v>6</v>
      </c>
      <c r="E11" s="34">
        <f ca="1">Q26</f>
        <v>7</v>
      </c>
      <c r="F11" s="34">
        <f ca="1">Q27</f>
        <v>7</v>
      </c>
      <c r="G11" s="34">
        <f ca="1">Q28</f>
        <v>7</v>
      </c>
      <c r="H11" s="34">
        <f ca="1">Q29</f>
        <v>8</v>
      </c>
      <c r="I11" s="34">
        <f ca="1">Q30</f>
        <v>8</v>
      </c>
      <c r="J11" s="34">
        <f ca="1">Q31</f>
        <v>8</v>
      </c>
      <c r="K11" s="34">
        <f ca="1">Q32</f>
        <v>9</v>
      </c>
      <c r="L11" s="34">
        <f ca="1">Q33</f>
        <v>9</v>
      </c>
      <c r="M11" s="34">
        <f ca="1">Q34</f>
        <v>9</v>
      </c>
      <c r="N11" s="34">
        <f ca="1">Q35</f>
        <v>10</v>
      </c>
      <c r="P11" s="1">
        <f>P10+1</f>
        <v>2</v>
      </c>
      <c r="Q11" s="6">
        <f>IF(R10=S10,Q10+1,Q10)</f>
        <v>1</v>
      </c>
      <c r="R11" s="6">
        <f ca="1">IF(R10=S10,OFFSET('Sample Loading Table'!$E$26,Q11,0),R10)</f>
        <v>2</v>
      </c>
      <c r="S11" s="1">
        <f>COUNTIF($Q$10:Q11,Q11)</f>
        <v>2</v>
      </c>
    </row>
    <row r="12" spans="1:19" ht="18" customHeight="1">
      <c r="B12" s="31" t="s">
        <v>3</v>
      </c>
      <c r="C12" s="34">
        <f ca="1">Q36</f>
        <v>10</v>
      </c>
      <c r="D12" s="34">
        <f ca="1">Q37</f>
        <v>10</v>
      </c>
      <c r="E12" s="34">
        <f ca="1">Q38</f>
        <v>11</v>
      </c>
      <c r="F12" s="34">
        <f ca="1">Q39</f>
        <v>11</v>
      </c>
      <c r="G12" s="34">
        <f ca="1">Q40</f>
        <v>12</v>
      </c>
      <c r="H12" s="34">
        <f ca="1">Q41</f>
        <v>12</v>
      </c>
      <c r="I12" s="34">
        <f ca="1">Q42</f>
        <v>12</v>
      </c>
      <c r="J12" s="34">
        <f ca="1">Q43</f>
        <v>13</v>
      </c>
      <c r="K12" s="34">
        <f ca="1">Q44</f>
        <v>13</v>
      </c>
      <c r="L12" s="34">
        <f ca="1">Q45</f>
        <v>13</v>
      </c>
      <c r="M12" s="34">
        <f ca="1">Q46</f>
        <v>14</v>
      </c>
      <c r="N12" s="34">
        <f ca="1">Q47</f>
        <v>14</v>
      </c>
      <c r="P12" s="1">
        <f t="shared" ref="P12:P75" si="1">P11+1</f>
        <v>3</v>
      </c>
      <c r="Q12" s="6">
        <f t="shared" ref="Q12:Q24" ca="1" si="2">IF(R11=S11,Q11+1,Q11)</f>
        <v>2</v>
      </c>
      <c r="R12" s="6">
        <f ca="1">IF(R11=S11,OFFSET('Sample Loading Table'!$E$26,Q12,0),R11)</f>
        <v>2</v>
      </c>
      <c r="S12" s="1">
        <f ca="1">COUNTIF($Q$10:Q12,Q12)</f>
        <v>1</v>
      </c>
    </row>
    <row r="13" spans="1:19" ht="18" customHeight="1">
      <c r="B13" s="31" t="s">
        <v>4</v>
      </c>
      <c r="C13" s="34">
        <f ca="1">Q48</f>
        <v>15</v>
      </c>
      <c r="D13" s="34">
        <f ca="1">Q49</f>
        <v>15</v>
      </c>
      <c r="E13" s="34">
        <f ca="1">Q50</f>
        <v>15</v>
      </c>
      <c r="F13" s="34">
        <f ca="1">Q51</f>
        <v>16</v>
      </c>
      <c r="G13" s="34">
        <f ca="1">Q52</f>
        <v>16</v>
      </c>
      <c r="H13" s="34">
        <f ca="1">Q53</f>
        <v>17</v>
      </c>
      <c r="I13" s="34">
        <f ca="1">Q54</f>
        <v>17</v>
      </c>
      <c r="J13" s="34">
        <f ca="1">Q55</f>
        <v>17</v>
      </c>
      <c r="K13" s="34">
        <f ca="1">Q56</f>
        <v>18</v>
      </c>
      <c r="L13" s="34">
        <f ca="1">Q57</f>
        <v>18</v>
      </c>
      <c r="M13" s="34">
        <f ca="1">Q58</f>
        <v>18</v>
      </c>
      <c r="N13" s="34">
        <f ca="1">Q59</f>
        <v>19</v>
      </c>
      <c r="P13" s="1">
        <f t="shared" si="1"/>
        <v>4</v>
      </c>
      <c r="Q13" s="6">
        <f t="shared" ca="1" si="2"/>
        <v>2</v>
      </c>
      <c r="R13" s="6">
        <f ca="1">IF(R12=S12,OFFSET('Sample Loading Table'!$E$26,Q13,0),R12)</f>
        <v>2</v>
      </c>
      <c r="S13" s="1">
        <f ca="1">COUNTIF($Q$10:Q13,Q13)</f>
        <v>2</v>
      </c>
    </row>
    <row r="14" spans="1:19" ht="18" customHeight="1">
      <c r="B14" s="31" t="s">
        <v>8</v>
      </c>
      <c r="C14" s="35">
        <f ca="1">Q60</f>
        <v>19</v>
      </c>
      <c r="D14" s="35">
        <f ca="1">Q61</f>
        <v>19</v>
      </c>
      <c r="E14" s="35">
        <f ca="1">Q62</f>
        <v>20</v>
      </c>
      <c r="F14" s="35">
        <f ca="1">Q63</f>
        <v>20</v>
      </c>
      <c r="G14" s="35">
        <f ca="1">Q64</f>
        <v>20</v>
      </c>
      <c r="H14" s="35">
        <f ca="1">Q65</f>
        <v>21</v>
      </c>
      <c r="I14" s="35">
        <f ca="1">Q66</f>
        <v>21</v>
      </c>
      <c r="J14" s="35">
        <f ca="1">Q67</f>
        <v>22</v>
      </c>
      <c r="K14" s="35">
        <f ca="1">Q68</f>
        <v>22</v>
      </c>
      <c r="L14" s="35">
        <f ca="1">Q69</f>
        <v>23</v>
      </c>
      <c r="M14" s="35">
        <f ca="1">Q70</f>
        <v>23</v>
      </c>
      <c r="N14" s="35">
        <f ca="1">Q71</f>
        <v>24</v>
      </c>
      <c r="P14" s="1">
        <f t="shared" si="1"/>
        <v>5</v>
      </c>
      <c r="Q14" s="6">
        <f t="shared" ca="1" si="2"/>
        <v>3</v>
      </c>
      <c r="R14" s="6">
        <f ca="1">IF(R13=S13,OFFSET('Sample Loading Table'!$E$26,Q14,0),R13)</f>
        <v>2</v>
      </c>
      <c r="S14" s="1">
        <f ca="1">COUNTIF($Q$10:Q14,Q14)</f>
        <v>1</v>
      </c>
    </row>
    <row r="15" spans="1:19" ht="18" customHeight="1">
      <c r="B15" s="31" t="s">
        <v>9</v>
      </c>
      <c r="C15" s="35">
        <f ca="1">Q72</f>
        <v>24</v>
      </c>
      <c r="D15" s="35">
        <f ca="1">Q73</f>
        <v>25</v>
      </c>
      <c r="E15" s="35">
        <f ca="1">Q74</f>
        <v>25</v>
      </c>
      <c r="F15" s="35">
        <f ca="1">Q75</f>
        <v>26</v>
      </c>
      <c r="G15" s="35">
        <f ca="1">Q76</f>
        <v>26</v>
      </c>
      <c r="H15" s="35">
        <f ca="1">Q77</f>
        <v>26</v>
      </c>
      <c r="I15" s="35">
        <f ca="1">Q78</f>
        <v>27</v>
      </c>
      <c r="J15" s="35">
        <f ca="1">Q79</f>
        <v>27</v>
      </c>
      <c r="K15" s="35">
        <f ca="1">Q80</f>
        <v>28</v>
      </c>
      <c r="L15" s="35">
        <f ca="1">Q81</f>
        <v>28</v>
      </c>
      <c r="M15" s="35">
        <f ca="1">Q82</f>
        <v>29</v>
      </c>
      <c r="N15" s="35">
        <f ca="1">Q83</f>
        <v>29</v>
      </c>
      <c r="P15" s="1">
        <f t="shared" si="1"/>
        <v>6</v>
      </c>
      <c r="Q15" s="6">
        <f t="shared" ca="1" si="2"/>
        <v>3</v>
      </c>
      <c r="R15" s="6">
        <f ca="1">IF(R14=S14,OFFSET('Sample Loading Table'!$E$26,Q15,0),R14)</f>
        <v>2</v>
      </c>
      <c r="S15" s="1">
        <f ca="1">COUNTIF($Q$10:Q15,Q15)</f>
        <v>2</v>
      </c>
    </row>
    <row r="16" spans="1:19" ht="18" customHeight="1">
      <c r="B16" s="31" t="s">
        <v>10</v>
      </c>
      <c r="C16" s="35">
        <f ca="1">Q84</f>
        <v>29</v>
      </c>
      <c r="D16" s="35">
        <f ca="1">Q85</f>
        <v>29</v>
      </c>
      <c r="E16" s="35">
        <f ca="1">Q86</f>
        <v>30</v>
      </c>
      <c r="F16" s="35">
        <f ca="1">Q87</f>
        <v>30</v>
      </c>
      <c r="G16" s="35">
        <f ca="1">Q88</f>
        <v>30</v>
      </c>
      <c r="H16" s="35">
        <f ca="1">Q89</f>
        <v>31</v>
      </c>
      <c r="I16" s="35">
        <f ca="1">Q90</f>
        <v>31</v>
      </c>
      <c r="J16" s="35">
        <f ca="1">Q91</f>
        <v>31</v>
      </c>
      <c r="K16" s="35">
        <f ca="1">Q92</f>
        <v>32</v>
      </c>
      <c r="L16" s="35">
        <f ca="1">Q93</f>
        <v>32</v>
      </c>
      <c r="M16" s="35">
        <f ca="1">Q94</f>
        <v>32</v>
      </c>
      <c r="N16" s="35">
        <f ca="1">Q95</f>
        <v>33</v>
      </c>
      <c r="P16" s="1">
        <f t="shared" si="1"/>
        <v>7</v>
      </c>
      <c r="Q16" s="6">
        <f t="shared" ca="1" si="2"/>
        <v>4</v>
      </c>
      <c r="R16" s="6">
        <f ca="1">IF(R15=S15,OFFSET('Sample Loading Table'!$E$26,Q16,0),R15)</f>
        <v>2</v>
      </c>
      <c r="S16" s="1">
        <f ca="1">COUNTIF($Q$10:Q16,Q16)</f>
        <v>1</v>
      </c>
    </row>
    <row r="17" spans="2:19" ht="18" customHeight="1">
      <c r="B17" s="31" t="s">
        <v>11</v>
      </c>
      <c r="C17" s="35">
        <f ca="1">Q96</f>
        <v>33</v>
      </c>
      <c r="D17" s="35">
        <f ca="1">Q97</f>
        <v>33</v>
      </c>
      <c r="E17" s="35">
        <f ca="1">Q98</f>
        <v>34</v>
      </c>
      <c r="F17" s="35">
        <f ca="1">Q99</f>
        <v>34</v>
      </c>
      <c r="G17" s="35">
        <f ca="1">Q100</f>
        <v>34</v>
      </c>
      <c r="H17" s="35">
        <f ca="1">Q101</f>
        <v>34</v>
      </c>
      <c r="I17" s="35">
        <f ca="1">Q102</f>
        <v>35</v>
      </c>
      <c r="J17" s="35">
        <f ca="1">Q103</f>
        <v>35</v>
      </c>
      <c r="K17" s="35">
        <f ca="1">Q104</f>
        <v>35</v>
      </c>
      <c r="L17" s="35">
        <f ca="1">Q105</f>
        <v>36</v>
      </c>
      <c r="M17" s="35">
        <f ca="1">Q106</f>
        <v>36</v>
      </c>
      <c r="N17" s="35">
        <f ca="1">Q107</f>
        <v>36</v>
      </c>
      <c r="P17" s="1">
        <f t="shared" si="1"/>
        <v>8</v>
      </c>
      <c r="Q17" s="6">
        <f ca="1">IF(R16=S16,Q16+1,Q16)</f>
        <v>4</v>
      </c>
      <c r="R17" s="6">
        <f ca="1">IF(R16=S16,OFFSET('Sample Loading Table'!$E$26,Q17,0),R16)</f>
        <v>2</v>
      </c>
      <c r="S17" s="1">
        <f ca="1">COUNTIF($Q$10:Q17,Q17)</f>
        <v>2</v>
      </c>
    </row>
    <row r="18" spans="2:19">
      <c r="P18" s="1">
        <f t="shared" si="1"/>
        <v>9</v>
      </c>
      <c r="Q18" s="6">
        <f t="shared" ca="1" si="2"/>
        <v>5</v>
      </c>
      <c r="R18" s="6">
        <f ca="1">IF(R17=S17,OFFSET('Sample Loading Table'!$E$26,Q18,0),R17)</f>
        <v>3</v>
      </c>
      <c r="S18" s="1">
        <f ca="1">COUNTIF($Q$10:Q18,Q18)</f>
        <v>1</v>
      </c>
    </row>
    <row r="19" spans="2:19" ht="16">
      <c r="C19" s="70">
        <f>'Sample Loading Table'!F23</f>
        <v>0</v>
      </c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P19" s="1">
        <f t="shared" si="1"/>
        <v>10</v>
      </c>
      <c r="Q19" s="6">
        <f t="shared" ca="1" si="2"/>
        <v>5</v>
      </c>
      <c r="R19" s="6">
        <f ca="1">IF(R18=S18,OFFSET('Sample Loading Table'!$E$26,Q19,0),R18)</f>
        <v>3</v>
      </c>
      <c r="S19" s="1">
        <f ca="1">COUNTIF($Q$10:Q19,Q19)</f>
        <v>2</v>
      </c>
    </row>
    <row r="20" spans="2:19" ht="18.5" customHeight="1">
      <c r="C20" s="71">
        <f>'Sample Loading Table'!F24</f>
        <v>0</v>
      </c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P20" s="1">
        <f t="shared" si="1"/>
        <v>11</v>
      </c>
      <c r="Q20" s="6">
        <f t="shared" ca="1" si="2"/>
        <v>5</v>
      </c>
      <c r="R20" s="6">
        <f ca="1">IF(R19=S19,OFFSET('Sample Loading Table'!$E$26,Q20,0),R19)</f>
        <v>3</v>
      </c>
      <c r="S20" s="1">
        <f ca="1">COUNTIF($Q$10:Q20,Q20)</f>
        <v>3</v>
      </c>
    </row>
    <row r="21" spans="2:19" ht="18.5" customHeight="1">
      <c r="C21" s="71" t="str">
        <f>(IF(C19=0,"","Please address the warning message on the Sample Loading Table to avoid experimental error"))</f>
        <v/>
      </c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Q21" s="6"/>
      <c r="R21" s="6"/>
    </row>
    <row r="22" spans="2:19">
      <c r="Q22" s="6"/>
      <c r="R22" s="6"/>
    </row>
    <row r="23" spans="2:19" ht="22" customHeight="1">
      <c r="C23" s="72" t="s">
        <v>0</v>
      </c>
      <c r="D23" s="72"/>
      <c r="E23" s="72" t="s">
        <v>12</v>
      </c>
      <c r="F23" s="72"/>
      <c r="G23" s="72"/>
      <c r="H23" s="72" t="s">
        <v>14</v>
      </c>
      <c r="I23" s="72"/>
      <c r="J23" s="72"/>
      <c r="P23" s="1">
        <f>P20+1</f>
        <v>12</v>
      </c>
      <c r="Q23" s="6">
        <f ca="1">IF(R20=S20,Q20+1,Q20)</f>
        <v>6</v>
      </c>
      <c r="R23" s="6">
        <f ca="1">IF(R20=S20,OFFSET('Sample Loading Table'!$E$26,Q23,0),R20)</f>
        <v>3</v>
      </c>
      <c r="S23" s="1">
        <f ca="1">COUNTIF($Q$10:Q23,Q23)</f>
        <v>1</v>
      </c>
    </row>
    <row r="24" spans="2:19" ht="16">
      <c r="C24" s="77">
        <f>IF(OR((H24=0),(ISBLANK(H24))),"",'Sample Loading Table'!A27)</f>
        <v>1</v>
      </c>
      <c r="D24" s="77"/>
      <c r="E24" s="78" t="str">
        <f>IF(OR((H24=0),(ISBLANK(H24))),"",'Sample Loading Table'!B27)</f>
        <v>M SYM CB</v>
      </c>
      <c r="F24" s="78"/>
      <c r="G24" s="78"/>
      <c r="H24" s="73">
        <f>'Sample Loading Table'!C27</f>
        <v>2.7799999999999998E-2</v>
      </c>
      <c r="I24" s="73"/>
      <c r="J24" s="73"/>
      <c r="P24" s="1">
        <f t="shared" si="1"/>
        <v>13</v>
      </c>
      <c r="Q24" s="6">
        <f t="shared" ca="1" si="2"/>
        <v>6</v>
      </c>
      <c r="R24" s="6">
        <f ca="1">IF(R23=S23,OFFSET('Sample Loading Table'!$E$26,Q24,0),R23)</f>
        <v>3</v>
      </c>
      <c r="S24" s="1">
        <f ca="1">COUNTIF($Q$10:Q24,Q24)</f>
        <v>2</v>
      </c>
    </row>
    <row r="25" spans="2:19" ht="16">
      <c r="C25" s="75">
        <f>IF(OR((H25=0),(ISBLANK(H25))),"",'Sample Loading Table'!A28)</f>
        <v>2</v>
      </c>
      <c r="D25" s="75"/>
      <c r="E25" s="76" t="str">
        <f>IF(OR((H25=0),(ISBLANK(H25))),"",'Sample Loading Table'!B28)</f>
        <v>M SYM WB</v>
      </c>
      <c r="F25" s="76"/>
      <c r="G25" s="76"/>
      <c r="H25" s="74">
        <f>'Sample Loading Table'!C28</f>
        <v>2.7777777699999999E-2</v>
      </c>
      <c r="I25" s="74"/>
      <c r="J25" s="74"/>
      <c r="P25" s="1">
        <f t="shared" si="1"/>
        <v>14</v>
      </c>
      <c r="Q25" s="6">
        <f ca="1">IF(R24=S24,Q24+1,Q24)</f>
        <v>6</v>
      </c>
      <c r="R25" s="6">
        <f ca="1">IF(R24=S24,OFFSET('Sample Loading Table'!$E$26,Q25,0),R24)</f>
        <v>3</v>
      </c>
      <c r="S25" s="1">
        <f ca="1">COUNTIF($Q$10:Q25,Q25)</f>
        <v>3</v>
      </c>
    </row>
    <row r="26" spans="2:19" ht="16">
      <c r="C26" s="67">
        <f>IF(OR((H26=0),(ISBLANK(H26))),"",'Sample Loading Table'!A29)</f>
        <v>3</v>
      </c>
      <c r="D26" s="67"/>
      <c r="E26" s="68" t="str">
        <f>IF(OR((H26=0),(ISBLANK(H26))),"",'Sample Loading Table'!B29)</f>
        <v>M SYM GILL</v>
      </c>
      <c r="F26" s="68"/>
      <c r="G26" s="68"/>
      <c r="H26" s="69">
        <f>'Sample Loading Table'!C29</f>
        <v>2.7777777699999999E-2</v>
      </c>
      <c r="I26" s="69"/>
      <c r="J26" s="69"/>
      <c r="P26" s="1">
        <f t="shared" si="1"/>
        <v>15</v>
      </c>
      <c r="Q26" s="6">
        <f t="shared" ref="Q26:Q29" ca="1" si="3">IF(R25=S25,Q25+1,Q25)</f>
        <v>7</v>
      </c>
      <c r="R26" s="6">
        <f ca="1">IF(R25=S25,OFFSET('Sample Loading Table'!$E$26,Q26,0),R25)</f>
        <v>3</v>
      </c>
      <c r="S26" s="1">
        <f ca="1">COUNTIF($Q$10:Q26,Q26)</f>
        <v>1</v>
      </c>
    </row>
    <row r="27" spans="2:19" ht="16">
      <c r="C27" s="67">
        <f>IF(OR((H27=0),(ISBLANK(H27))),"",'Sample Loading Table'!A30)</f>
        <v>4</v>
      </c>
      <c r="D27" s="67"/>
      <c r="E27" s="68" t="str">
        <f>IF(OR((H27=0),(ISBLANK(H27))),"",'Sample Loading Table'!B30)</f>
        <v>M SYM TST</v>
      </c>
      <c r="F27" s="68"/>
      <c r="G27" s="68"/>
      <c r="H27" s="69">
        <f>'Sample Loading Table'!C30</f>
        <v>2.7777777699999999E-2</v>
      </c>
      <c r="I27" s="69"/>
      <c r="J27" s="69"/>
      <c r="P27" s="1">
        <f t="shared" si="1"/>
        <v>16</v>
      </c>
      <c r="Q27" s="6">
        <f t="shared" ca="1" si="3"/>
        <v>7</v>
      </c>
      <c r="R27" s="6">
        <f ca="1">IF(R26=S26,OFFSET('Sample Loading Table'!$E$26,Q27,0),R26)</f>
        <v>3</v>
      </c>
      <c r="S27" s="1">
        <f ca="1">COUNTIF($Q$10:Q27,Q27)</f>
        <v>2</v>
      </c>
    </row>
    <row r="28" spans="2:19" ht="16">
      <c r="C28" s="67">
        <f>IF(OR((H28=0),(ISBLANK(H28))),"",'Sample Loading Table'!A31)</f>
        <v>5</v>
      </c>
      <c r="D28" s="67"/>
      <c r="E28" s="68" t="str">
        <f>IF(OR((H28=0),(ISBLANK(H28))),"",'Sample Loading Table'!B31)</f>
        <v>M SYM SKIN</v>
      </c>
      <c r="F28" s="68"/>
      <c r="G28" s="68"/>
      <c r="H28" s="69">
        <f>'Sample Loading Table'!C31</f>
        <v>2.7777777699999999E-2</v>
      </c>
      <c r="I28" s="69"/>
      <c r="J28" s="69"/>
      <c r="P28" s="1">
        <f t="shared" si="1"/>
        <v>17</v>
      </c>
      <c r="Q28" s="6">
        <f t="shared" ca="1" si="3"/>
        <v>7</v>
      </c>
      <c r="R28" s="6">
        <f ca="1">IF(R27=S27,OFFSET('Sample Loading Table'!$E$26,Q28,0),R27)</f>
        <v>3</v>
      </c>
      <c r="S28" s="1">
        <f ca="1">COUNTIF($Q$10:Q28,Q28)</f>
        <v>3</v>
      </c>
    </row>
    <row r="29" spans="2:19" ht="16">
      <c r="C29" s="67">
        <f>IF(OR((H29=0),(ISBLANK(H29))),"",'Sample Loading Table'!A32)</f>
        <v>6</v>
      </c>
      <c r="D29" s="67"/>
      <c r="E29" s="68" t="str">
        <f>IF(OR((H29=0),(ISBLANK(H29))),"",'Sample Loading Table'!B32)</f>
        <v>F SYM CB</v>
      </c>
      <c r="F29" s="68"/>
      <c r="G29" s="68"/>
      <c r="H29" s="69">
        <f>'Sample Loading Table'!C32</f>
        <v>2.7777777699999999E-2</v>
      </c>
      <c r="I29" s="69"/>
      <c r="J29" s="69"/>
      <c r="P29" s="1">
        <f t="shared" si="1"/>
        <v>18</v>
      </c>
      <c r="Q29" s="6">
        <f t="shared" ca="1" si="3"/>
        <v>8</v>
      </c>
      <c r="R29" s="6">
        <f ca="1">IF(R28=S28,OFFSET('Sample Loading Table'!$E$26,Q29,0),R28)</f>
        <v>3</v>
      </c>
      <c r="S29" s="1">
        <f ca="1">COUNTIF($Q$10:Q29,Q29)</f>
        <v>1</v>
      </c>
    </row>
    <row r="30" spans="2:19" ht="16">
      <c r="C30" s="67">
        <f>IF(OR((H30=0),(ISBLANK(H30))),"",'Sample Loading Table'!A33)</f>
        <v>7</v>
      </c>
      <c r="D30" s="67"/>
      <c r="E30" s="68" t="str">
        <f>IF(OR((H30=0),(ISBLANK(H30))),"",'Sample Loading Table'!B33)</f>
        <v>F SYM WB</v>
      </c>
      <c r="F30" s="68"/>
      <c r="G30" s="68"/>
      <c r="H30" s="69">
        <f>'Sample Loading Table'!C33</f>
        <v>2.7777777699999999E-2</v>
      </c>
      <c r="I30" s="69"/>
      <c r="J30" s="69"/>
      <c r="P30" s="1">
        <f>P29+1</f>
        <v>19</v>
      </c>
      <c r="Q30" s="6">
        <f ca="1">IF(R29=S29,Q29+1,Q29)</f>
        <v>8</v>
      </c>
      <c r="R30" s="6">
        <f ca="1">IF(R29=S29,OFFSET('Sample Loading Table'!$E$26,Q30,0),R29)</f>
        <v>3</v>
      </c>
      <c r="S30" s="1">
        <f ca="1">COUNTIF($Q$10:Q30,Q30)</f>
        <v>2</v>
      </c>
    </row>
    <row r="31" spans="2:19" ht="16">
      <c r="C31" s="67">
        <f>IF(OR((H31=0),(ISBLANK(H31))),"",'Sample Loading Table'!A34)</f>
        <v>8</v>
      </c>
      <c r="D31" s="67"/>
      <c r="E31" s="68" t="str">
        <f>IF(OR((H31=0),(ISBLANK(H31))),"",'Sample Loading Table'!B34)</f>
        <v>F SYM GILL</v>
      </c>
      <c r="F31" s="68"/>
      <c r="G31" s="68"/>
      <c r="H31" s="69">
        <f>'Sample Loading Table'!C34</f>
        <v>2.7777777699999999E-2</v>
      </c>
      <c r="I31" s="69"/>
      <c r="J31" s="69"/>
      <c r="P31" s="1">
        <f t="shared" si="1"/>
        <v>20</v>
      </c>
      <c r="Q31" s="6">
        <f t="shared" ref="Q31:Q35" ca="1" si="4">IF(R30=S30,Q30+1,Q30)</f>
        <v>8</v>
      </c>
      <c r="R31" s="6">
        <f ca="1">IF(R30=S30,OFFSET('Sample Loading Table'!$E$26,Q31,0),R30)</f>
        <v>3</v>
      </c>
      <c r="S31" s="1">
        <f ca="1">COUNTIF($Q$10:Q31,Q31)</f>
        <v>3</v>
      </c>
    </row>
    <row r="32" spans="2:19" ht="16">
      <c r="C32" s="67">
        <f>IF(OR((H32=0),(ISBLANK(H32))),"",'Sample Loading Table'!A35)</f>
        <v>9</v>
      </c>
      <c r="D32" s="67"/>
      <c r="E32" s="68" t="str">
        <f>IF(OR((H32=0),(ISBLANK(H32))),"",'Sample Loading Table'!B35)</f>
        <v>F SYM OVRY</v>
      </c>
      <c r="F32" s="68"/>
      <c r="G32" s="68"/>
      <c r="H32" s="69">
        <f>'Sample Loading Table'!C35</f>
        <v>2.7777777699999999E-2</v>
      </c>
      <c r="I32" s="69"/>
      <c r="J32" s="69"/>
      <c r="P32" s="1">
        <f t="shared" si="1"/>
        <v>21</v>
      </c>
      <c r="Q32" s="6">
        <f t="shared" ca="1" si="4"/>
        <v>9</v>
      </c>
      <c r="R32" s="6">
        <f ca="1">IF(R31=S31,OFFSET('Sample Loading Table'!$E$26,Q32,0),R31)</f>
        <v>3</v>
      </c>
      <c r="S32" s="1">
        <f ca="1">COUNTIF($Q$10:Q32,Q32)</f>
        <v>1</v>
      </c>
    </row>
    <row r="33" spans="3:19" ht="16">
      <c r="C33" s="67">
        <f>IF(OR((H33=0),(ISBLANK(H33))),"",'Sample Loading Table'!A36)</f>
        <v>10</v>
      </c>
      <c r="D33" s="67"/>
      <c r="E33" s="68" t="str">
        <f>IF(OR((H33=0),(ISBLANK(H33))),"",'Sample Loading Table'!B36)</f>
        <v>F SYM SKIN</v>
      </c>
      <c r="F33" s="68"/>
      <c r="G33" s="68"/>
      <c r="H33" s="69">
        <f>'Sample Loading Table'!C36</f>
        <v>2.7777777699999999E-2</v>
      </c>
      <c r="I33" s="69"/>
      <c r="J33" s="69"/>
      <c r="P33" s="1">
        <f t="shared" si="1"/>
        <v>22</v>
      </c>
      <c r="Q33" s="6">
        <f t="shared" ca="1" si="4"/>
        <v>9</v>
      </c>
      <c r="R33" s="6">
        <f ca="1">IF(R32=S32,OFFSET('Sample Loading Table'!$E$26,Q33,0),R32)</f>
        <v>3</v>
      </c>
      <c r="S33" s="1">
        <f ca="1">COUNTIF($Q$10:Q33,Q33)</f>
        <v>2</v>
      </c>
    </row>
    <row r="34" spans="3:19" ht="16">
      <c r="C34" s="67">
        <f>IF(OR((H34=0),(ISBLANK(H34))),"",'Sample Loading Table'!A37)</f>
        <v>11</v>
      </c>
      <c r="D34" s="67"/>
      <c r="E34" s="68" t="str">
        <f>IF(OR((H34=0),(ISBLANK(H34))),"",'Sample Loading Table'!B37)</f>
        <v>M APO CB</v>
      </c>
      <c r="F34" s="68"/>
      <c r="G34" s="68"/>
      <c r="H34" s="69">
        <f>'Sample Loading Table'!C37</f>
        <v>2.7777777699999999E-2</v>
      </c>
      <c r="I34" s="69"/>
      <c r="J34" s="69"/>
      <c r="P34" s="1">
        <f t="shared" si="1"/>
        <v>23</v>
      </c>
      <c r="Q34" s="6">
        <f t="shared" ca="1" si="4"/>
        <v>9</v>
      </c>
      <c r="R34" s="6">
        <f ca="1">IF(R33=S33,OFFSET('Sample Loading Table'!$E$26,Q34,0),R33)</f>
        <v>3</v>
      </c>
      <c r="S34" s="1">
        <f ca="1">COUNTIF($Q$10:Q34,Q34)</f>
        <v>3</v>
      </c>
    </row>
    <row r="35" spans="3:19" ht="16">
      <c r="C35" s="67">
        <f>IF(OR((H35=0),(ISBLANK(H35))),"",'Sample Loading Table'!A38)</f>
        <v>12</v>
      </c>
      <c r="D35" s="67"/>
      <c r="E35" s="68" t="str">
        <f>IF(OR((H35=0),(ISBLANK(H35))),"",'Sample Loading Table'!B38)</f>
        <v>M APO WB</v>
      </c>
      <c r="F35" s="68"/>
      <c r="G35" s="68"/>
      <c r="H35" s="69">
        <f>'Sample Loading Table'!C38</f>
        <v>2.7777777699999999E-2</v>
      </c>
      <c r="I35" s="69"/>
      <c r="J35" s="69"/>
      <c r="P35" s="1">
        <f>P34+1</f>
        <v>24</v>
      </c>
      <c r="Q35" s="6">
        <f t="shared" ca="1" si="4"/>
        <v>10</v>
      </c>
      <c r="R35" s="6">
        <f ca="1">IF(R34=S34,OFFSET('Sample Loading Table'!$E$26,Q35,0),R34)</f>
        <v>3</v>
      </c>
      <c r="S35" s="1">
        <f ca="1">COUNTIF($Q$10:Q35,Q35)</f>
        <v>1</v>
      </c>
    </row>
    <row r="36" spans="3:19" ht="16">
      <c r="C36" s="67">
        <f>IF(OR((H36=0),(ISBLANK(H36))),"",'Sample Loading Table'!A39)</f>
        <v>13</v>
      </c>
      <c r="D36" s="67"/>
      <c r="E36" s="68" t="str">
        <f>IF(OR((H36=0),(ISBLANK(H36))),"",'Sample Loading Table'!B39)</f>
        <v>M APO GILL</v>
      </c>
      <c r="F36" s="68"/>
      <c r="G36" s="68"/>
      <c r="H36" s="69">
        <f>'Sample Loading Table'!C39</f>
        <v>2.7777777699999999E-2</v>
      </c>
      <c r="I36" s="69"/>
      <c r="J36" s="69"/>
      <c r="P36" s="1">
        <f t="shared" si="1"/>
        <v>25</v>
      </c>
      <c r="Q36" s="6">
        <f ca="1">IF(R35=S35,Q35+1,Q35)</f>
        <v>10</v>
      </c>
      <c r="R36" s="6">
        <f ca="1">IF(R35=S35,OFFSET('Sample Loading Table'!$E$26,Q36,0),R35)</f>
        <v>3</v>
      </c>
      <c r="S36" s="1">
        <f ca="1">COUNTIF($Q$10:Q36,Q36)</f>
        <v>2</v>
      </c>
    </row>
    <row r="37" spans="3:19" ht="16">
      <c r="C37" s="67">
        <f>IF(OR((H37=0),(ISBLANK(H37))),"",'Sample Loading Table'!A40)</f>
        <v>14</v>
      </c>
      <c r="D37" s="67"/>
      <c r="E37" s="68" t="str">
        <f>IF(OR((H37=0),(ISBLANK(H37))),"",'Sample Loading Table'!B40)</f>
        <v>M APO TST</v>
      </c>
      <c r="F37" s="68"/>
      <c r="G37" s="68"/>
      <c r="H37" s="69">
        <f>'Sample Loading Table'!C40</f>
        <v>2.7777777699999999E-2</v>
      </c>
      <c r="I37" s="69"/>
      <c r="J37" s="69"/>
      <c r="P37" s="1">
        <f t="shared" si="1"/>
        <v>26</v>
      </c>
      <c r="Q37" s="6">
        <f t="shared" ref="Q37:Q45" ca="1" si="5">IF(R36=S36,Q36+1,Q36)</f>
        <v>10</v>
      </c>
      <c r="R37" s="6">
        <f ca="1">IF(R36=S36,OFFSET('Sample Loading Table'!$E$26,Q37,0),R36)</f>
        <v>3</v>
      </c>
      <c r="S37" s="1">
        <f ca="1">COUNTIF($Q$10:Q37,Q37)</f>
        <v>3</v>
      </c>
    </row>
    <row r="38" spans="3:19" ht="16">
      <c r="C38" s="67">
        <f>IF(OR((H38=0),(ISBLANK(H38))),"",'Sample Loading Table'!A41)</f>
        <v>15</v>
      </c>
      <c r="D38" s="67"/>
      <c r="E38" s="68" t="str">
        <f>IF(OR((H38=0),(ISBLANK(H38))),"",'Sample Loading Table'!B41)</f>
        <v>M APO SKIN</v>
      </c>
      <c r="F38" s="68"/>
      <c r="G38" s="68"/>
      <c r="H38" s="69">
        <f>'Sample Loading Table'!C41</f>
        <v>2.7777777699999999E-2</v>
      </c>
      <c r="I38" s="69"/>
      <c r="J38" s="69"/>
      <c r="P38" s="1">
        <f t="shared" si="1"/>
        <v>27</v>
      </c>
      <c r="Q38" s="6">
        <f t="shared" ca="1" si="5"/>
        <v>11</v>
      </c>
      <c r="R38" s="6">
        <f ca="1">IF(R37=S37,OFFSET('Sample Loading Table'!$E$26,Q38,0),R37)</f>
        <v>2</v>
      </c>
      <c r="S38" s="1">
        <f ca="1">COUNTIF($Q$10:Q38,Q38)</f>
        <v>1</v>
      </c>
    </row>
    <row r="39" spans="3:19" ht="16">
      <c r="C39" s="67">
        <f>IF(OR((H39=0),(ISBLANK(H39))),"",'Sample Loading Table'!A42)</f>
        <v>16</v>
      </c>
      <c r="D39" s="67"/>
      <c r="E39" s="68" t="str">
        <f>IF(OR((H39=0),(ISBLANK(H39))),"",'Sample Loading Table'!B42)</f>
        <v>F APO CB</v>
      </c>
      <c r="F39" s="68"/>
      <c r="G39" s="68"/>
      <c r="H39" s="69">
        <f>'Sample Loading Table'!C42</f>
        <v>2.7777777699999999E-2</v>
      </c>
      <c r="I39" s="69"/>
      <c r="J39" s="69"/>
      <c r="P39" s="1">
        <f t="shared" si="1"/>
        <v>28</v>
      </c>
      <c r="Q39" s="6">
        <f t="shared" ca="1" si="5"/>
        <v>11</v>
      </c>
      <c r="R39" s="6">
        <f ca="1">IF(R38=S38,OFFSET('Sample Loading Table'!$E$26,Q39,0),R38)</f>
        <v>2</v>
      </c>
      <c r="S39" s="1">
        <f ca="1">COUNTIF($Q$10:Q39,Q39)</f>
        <v>2</v>
      </c>
    </row>
    <row r="40" spans="3:19" ht="16">
      <c r="C40" s="67">
        <f>IF(OR((H40=0),(ISBLANK(H40))),"",'Sample Loading Table'!A43)</f>
        <v>17</v>
      </c>
      <c r="D40" s="67"/>
      <c r="E40" s="68" t="str">
        <f>IF(OR((H40=0),(ISBLANK(H40))),"",'Sample Loading Table'!B43)</f>
        <v>F APO WB</v>
      </c>
      <c r="F40" s="68"/>
      <c r="G40" s="68"/>
      <c r="H40" s="69">
        <f>'Sample Loading Table'!C43</f>
        <v>2.7777777699999999E-2</v>
      </c>
      <c r="I40" s="69"/>
      <c r="J40" s="69"/>
      <c r="P40" s="1">
        <f t="shared" si="1"/>
        <v>29</v>
      </c>
      <c r="Q40" s="6">
        <f t="shared" ca="1" si="5"/>
        <v>12</v>
      </c>
      <c r="R40" s="6">
        <f ca="1">IF(R39=S39,OFFSET('Sample Loading Table'!$E$26,Q40,0),R39)</f>
        <v>3</v>
      </c>
      <c r="S40" s="1">
        <f ca="1">COUNTIF($Q$10:Q40,Q40)</f>
        <v>1</v>
      </c>
    </row>
    <row r="41" spans="3:19" ht="16">
      <c r="C41" s="67">
        <f>IF(OR((H41=0),(ISBLANK(H41))),"",'Sample Loading Table'!A44)</f>
        <v>18</v>
      </c>
      <c r="D41" s="67"/>
      <c r="E41" s="68" t="str">
        <f>IF(OR((H41=0),(ISBLANK(H41))),"",'Sample Loading Table'!B44)</f>
        <v>F APO GILL</v>
      </c>
      <c r="F41" s="68"/>
      <c r="G41" s="68"/>
      <c r="H41" s="69">
        <f>'Sample Loading Table'!C44</f>
        <v>2.7777777699999999E-2</v>
      </c>
      <c r="I41" s="69"/>
      <c r="J41" s="69"/>
      <c r="P41" s="1">
        <f t="shared" si="1"/>
        <v>30</v>
      </c>
      <c r="Q41" s="6">
        <f t="shared" ca="1" si="5"/>
        <v>12</v>
      </c>
      <c r="R41" s="6">
        <f ca="1">IF(R40=S40,OFFSET('Sample Loading Table'!$E$26,Q41,0),R40)</f>
        <v>3</v>
      </c>
      <c r="S41" s="1">
        <f ca="1">COUNTIF($Q$10:Q41,Q41)</f>
        <v>2</v>
      </c>
    </row>
    <row r="42" spans="3:19" ht="16">
      <c r="C42" s="67">
        <f>IF(OR((H42=0),(ISBLANK(H42))),"",'Sample Loading Table'!A45)</f>
        <v>19</v>
      </c>
      <c r="D42" s="67"/>
      <c r="E42" s="68" t="str">
        <f>IF(OR((H42=0),(ISBLANK(H42))),"",'Sample Loading Table'!B45)</f>
        <v>F APO OVRY</v>
      </c>
      <c r="F42" s="68"/>
      <c r="G42" s="68"/>
      <c r="H42" s="69">
        <f>'Sample Loading Table'!C45</f>
        <v>2.7777777699999999E-2</v>
      </c>
      <c r="I42" s="69"/>
      <c r="J42" s="69"/>
      <c r="P42" s="1">
        <f t="shared" si="1"/>
        <v>31</v>
      </c>
      <c r="Q42" s="6">
        <f t="shared" ca="1" si="5"/>
        <v>12</v>
      </c>
      <c r="R42" s="6">
        <f ca="1">IF(R41=S41,OFFSET('Sample Loading Table'!$E$26,Q42,0),R41)</f>
        <v>3</v>
      </c>
      <c r="S42" s="1">
        <f ca="1">COUNTIF($Q$10:Q42,Q42)</f>
        <v>3</v>
      </c>
    </row>
    <row r="43" spans="3:19" ht="16">
      <c r="C43" s="67">
        <f>IF(OR((H43=0),(ISBLANK(H43))),"",'Sample Loading Table'!A46)</f>
        <v>20</v>
      </c>
      <c r="D43" s="67"/>
      <c r="E43" s="68" t="str">
        <f>IF(OR((H43=0),(ISBLANK(H43))),"",'Sample Loading Table'!B46)</f>
        <v>F APO SKIN</v>
      </c>
      <c r="F43" s="68"/>
      <c r="G43" s="68"/>
      <c r="H43" s="69">
        <f>'Sample Loading Table'!C46</f>
        <v>2.7777777699999999E-2</v>
      </c>
      <c r="I43" s="69"/>
      <c r="J43" s="69"/>
      <c r="P43" s="1">
        <f>P42+1</f>
        <v>32</v>
      </c>
      <c r="Q43" s="6">
        <f t="shared" ca="1" si="5"/>
        <v>13</v>
      </c>
      <c r="R43" s="6">
        <f ca="1">IF(R42=S42,OFFSET('Sample Loading Table'!$E$26,Q43,0),R42)</f>
        <v>3</v>
      </c>
      <c r="S43" s="1">
        <f ca="1">COUNTIF($Q$10:Q43,Q43)</f>
        <v>1</v>
      </c>
    </row>
    <row r="44" spans="3:19" ht="16">
      <c r="C44" s="67">
        <f>IF(OR((H44=0),(ISBLANK(H44))),"",'Sample Loading Table'!A47)</f>
        <v>21</v>
      </c>
      <c r="D44" s="67"/>
      <c r="E44" s="68" t="str">
        <f>IF(OR((H44=0),(ISBLANK(H44))),"",'Sample Loading Table'!B47)</f>
        <v>M SYM HCTS</v>
      </c>
      <c r="F44" s="68"/>
      <c r="G44" s="68"/>
      <c r="H44" s="69">
        <f>'Sample Loading Table'!C47</f>
        <v>2.7777777699999999E-2</v>
      </c>
      <c r="I44" s="69"/>
      <c r="J44" s="69"/>
      <c r="P44" s="1">
        <f t="shared" si="1"/>
        <v>33</v>
      </c>
      <c r="Q44" s="6">
        <f t="shared" ca="1" si="5"/>
        <v>13</v>
      </c>
      <c r="R44" s="6">
        <f ca="1">IF(R43=S43,OFFSET('Sample Loading Table'!$E$26,Q44,0),R43)</f>
        <v>3</v>
      </c>
      <c r="S44" s="1">
        <f ca="1">COUNTIF($Q$10:Q44,Q44)</f>
        <v>2</v>
      </c>
    </row>
    <row r="45" spans="3:19" ht="16">
      <c r="C45" s="67">
        <f>IF(OR((H45=0),(ISBLANK(H45))),"",'Sample Loading Table'!A48)</f>
        <v>22</v>
      </c>
      <c r="D45" s="67"/>
      <c r="E45" s="68" t="str">
        <f>IF(OR((H45=0),(ISBLANK(H45))),"",'Sample Loading Table'!B48)</f>
        <v>F SYM HCTS</v>
      </c>
      <c r="F45" s="68"/>
      <c r="G45" s="68"/>
      <c r="H45" s="69">
        <f>'Sample Loading Table'!C48</f>
        <v>2.7777777699999999E-2</v>
      </c>
      <c r="I45" s="69"/>
      <c r="J45" s="69"/>
      <c r="P45" s="1">
        <f t="shared" si="1"/>
        <v>34</v>
      </c>
      <c r="Q45" s="6">
        <f t="shared" ca="1" si="5"/>
        <v>13</v>
      </c>
      <c r="R45" s="6">
        <f ca="1">IF(R44=S44,OFFSET('Sample Loading Table'!$E$26,Q45,0),R44)</f>
        <v>3</v>
      </c>
      <c r="S45" s="1">
        <f ca="1">COUNTIF($Q$10:Q45,Q45)</f>
        <v>3</v>
      </c>
    </row>
    <row r="46" spans="3:19" ht="16">
      <c r="C46" s="67">
        <f>IF(OR((H46=0),(ISBLANK(H46))),"",'Sample Loading Table'!A49)</f>
        <v>23</v>
      </c>
      <c r="D46" s="67"/>
      <c r="E46" s="68" t="str">
        <f>IF(OR((H46=0),(ISBLANK(H46))),"",'Sample Loading Table'!B49)</f>
        <v>M APO HCTS</v>
      </c>
      <c r="F46" s="68"/>
      <c r="G46" s="68"/>
      <c r="H46" s="69">
        <f>'Sample Loading Table'!C49</f>
        <v>2.7777777699999999E-2</v>
      </c>
      <c r="I46" s="69"/>
      <c r="J46" s="69"/>
      <c r="P46" s="1">
        <f t="shared" si="1"/>
        <v>35</v>
      </c>
      <c r="Q46" s="6">
        <f ca="1">IF(R45=S45,Q45+1,Q45)</f>
        <v>14</v>
      </c>
      <c r="R46" s="6">
        <f ca="1">IF(R45=S45,OFFSET('Sample Loading Table'!$E$26,Q46,0),R45)</f>
        <v>2</v>
      </c>
      <c r="S46" s="1">
        <f ca="1">COUNTIF($Q$10:Q46,Q46)</f>
        <v>1</v>
      </c>
    </row>
    <row r="47" spans="3:19" ht="16">
      <c r="C47" s="67">
        <f>IF(OR((H47=0),(ISBLANK(H47))),"",'Sample Loading Table'!A50)</f>
        <v>24</v>
      </c>
      <c r="D47" s="67"/>
      <c r="E47" s="68" t="str">
        <f>IF(OR((H47=0),(ISBLANK(H47))),"",'Sample Loading Table'!B50)</f>
        <v>F APO HCTS</v>
      </c>
      <c r="F47" s="68"/>
      <c r="G47" s="68"/>
      <c r="H47" s="69">
        <f>'Sample Loading Table'!C50</f>
        <v>2.7777777699999999E-2</v>
      </c>
      <c r="I47" s="69"/>
      <c r="J47" s="69"/>
      <c r="P47" s="1">
        <f t="shared" si="1"/>
        <v>36</v>
      </c>
      <c r="Q47" s="6">
        <f t="shared" ref="Q47:Q53" ca="1" si="6">IF(R46=S46,Q46+1,Q46)</f>
        <v>14</v>
      </c>
      <c r="R47" s="6">
        <f ca="1">IF(R46=S46,OFFSET('Sample Loading Table'!$E$26,Q47,0),R46)</f>
        <v>2</v>
      </c>
      <c r="S47" s="1">
        <f ca="1">COUNTIF($Q$10:Q47,Q47)</f>
        <v>2</v>
      </c>
    </row>
    <row r="48" spans="3:19" ht="16">
      <c r="C48" s="67">
        <f>IF(OR((H48=0),(ISBLANK(H48))),"",'Sample Loading Table'!A51)</f>
        <v>25</v>
      </c>
      <c r="D48" s="67"/>
      <c r="E48" s="68" t="str">
        <f>IF(OR((H48=0),(ISBLANK(H48))),"",'Sample Loading Table'!B51)</f>
        <v>SYM CC</v>
      </c>
      <c r="F48" s="68"/>
      <c r="G48" s="68"/>
      <c r="H48" s="69">
        <f>'Sample Loading Table'!C51</f>
        <v>2.7777777699999999E-2</v>
      </c>
      <c r="I48" s="69"/>
      <c r="J48" s="69"/>
      <c r="P48" s="1">
        <f t="shared" si="1"/>
        <v>37</v>
      </c>
      <c r="Q48" s="6">
        <f t="shared" ca="1" si="6"/>
        <v>15</v>
      </c>
      <c r="R48" s="6">
        <f ca="1">IF(R47=S47,OFFSET('Sample Loading Table'!$E$26,Q48,0),R47)</f>
        <v>3</v>
      </c>
      <c r="S48" s="1">
        <f ca="1">COUNTIF($Q$10:Q48,Q48)</f>
        <v>1</v>
      </c>
    </row>
    <row r="49" spans="3:19" ht="16">
      <c r="C49" s="67">
        <f>IF(OR((H49=0),(ISBLANK(H49))),"",'Sample Loading Table'!A52)</f>
        <v>26</v>
      </c>
      <c r="D49" s="67"/>
      <c r="E49" s="68" t="str">
        <f>IF(OR((H49=0),(ISBLANK(H49))),"",'Sample Loading Table'!B52)</f>
        <v>APO CC</v>
      </c>
      <c r="F49" s="68"/>
      <c r="G49" s="68"/>
      <c r="H49" s="69">
        <f>'Sample Loading Table'!C52</f>
        <v>2.7777777699999999E-2</v>
      </c>
      <c r="I49" s="69"/>
      <c r="J49" s="69"/>
      <c r="P49" s="1">
        <f t="shared" si="1"/>
        <v>38</v>
      </c>
      <c r="Q49" s="6">
        <f t="shared" ca="1" si="6"/>
        <v>15</v>
      </c>
      <c r="R49" s="6">
        <f ca="1">IF(R48=S48,OFFSET('Sample Loading Table'!$E$26,Q49,0),R48)</f>
        <v>3</v>
      </c>
      <c r="S49" s="1">
        <f ca="1">COUNTIF($Q$10:Q49,Q49)</f>
        <v>2</v>
      </c>
    </row>
    <row r="50" spans="3:19" ht="16">
      <c r="C50" s="67">
        <f>IF(OR((H50=0),(ISBLANK(H50))),"",'Sample Loading Table'!A53)</f>
        <v>27</v>
      </c>
      <c r="D50" s="67"/>
      <c r="E50" s="68" t="str">
        <f>IF(OR((H50=0),(ISBLANK(H50))),"",'Sample Loading Table'!B53)</f>
        <v>M HCTS</v>
      </c>
      <c r="F50" s="68"/>
      <c r="G50" s="68"/>
      <c r="H50" s="69">
        <f>'Sample Loading Table'!C53</f>
        <v>2.7777777699999999E-2</v>
      </c>
      <c r="I50" s="69"/>
      <c r="J50" s="69"/>
      <c r="P50" s="1">
        <f t="shared" si="1"/>
        <v>39</v>
      </c>
      <c r="Q50" s="6">
        <f t="shared" ca="1" si="6"/>
        <v>15</v>
      </c>
      <c r="R50" s="6">
        <f ca="1">IF(R49=S49,OFFSET('Sample Loading Table'!$E$26,Q50,0),R49)</f>
        <v>3</v>
      </c>
      <c r="S50" s="1">
        <f ca="1">COUNTIF($Q$10:Q50,Q50)</f>
        <v>3</v>
      </c>
    </row>
    <row r="51" spans="3:19" ht="16">
      <c r="C51" s="67">
        <f>IF(OR((H51=0),(ISBLANK(H51))),"",'Sample Loading Table'!A54)</f>
        <v>28</v>
      </c>
      <c r="D51" s="67"/>
      <c r="E51" s="68" t="str">
        <f>IF(OR((H51=0),(ISBLANK(H51))),"",'Sample Loading Table'!B54)</f>
        <v>F HCTS</v>
      </c>
      <c r="F51" s="68"/>
      <c r="G51" s="68"/>
      <c r="H51" s="69">
        <f>'Sample Loading Table'!C54</f>
        <v>2.7777777699999999E-2</v>
      </c>
      <c r="I51" s="69"/>
      <c r="J51" s="69"/>
      <c r="P51" s="1">
        <f t="shared" si="1"/>
        <v>40</v>
      </c>
      <c r="Q51" s="6">
        <f t="shared" ca="1" si="6"/>
        <v>16</v>
      </c>
      <c r="R51" s="6">
        <f ca="1">IF(R50=S50,OFFSET('Sample Loading Table'!$E$26,Q51,0),R50)</f>
        <v>2</v>
      </c>
      <c r="S51" s="1">
        <f ca="1">COUNTIF($Q$10:Q51,Q51)</f>
        <v>1</v>
      </c>
    </row>
    <row r="52" spans="3:19" ht="16">
      <c r="C52" s="67">
        <f>IF(OR((H52=0),(ISBLANK(H52))),"",'Sample Loading Table'!A55)</f>
        <v>29</v>
      </c>
      <c r="D52" s="67"/>
      <c r="E52" s="68" t="str">
        <f>IF(OR((H52=0),(ISBLANK(H52))),"",'Sample Loading Table'!B55)</f>
        <v>M C7 Skin</v>
      </c>
      <c r="F52" s="68"/>
      <c r="G52" s="68"/>
      <c r="H52" s="69">
        <f>'Sample Loading Table'!C55</f>
        <v>1.6500000000000001E-2</v>
      </c>
      <c r="I52" s="69"/>
      <c r="J52" s="69"/>
      <c r="P52" s="1">
        <f t="shared" si="1"/>
        <v>41</v>
      </c>
      <c r="Q52" s="6">
        <f t="shared" ca="1" si="6"/>
        <v>16</v>
      </c>
      <c r="R52" s="6">
        <f ca="1">IF(R51=S51,OFFSET('Sample Loading Table'!$E$26,Q52,0),R51)</f>
        <v>2</v>
      </c>
      <c r="S52" s="1">
        <f ca="1">COUNTIF($Q$10:Q52,Q52)</f>
        <v>2</v>
      </c>
    </row>
    <row r="53" spans="3:19" ht="16">
      <c r="C53" s="67">
        <f>IF(OR((H53=0),(ISBLANK(H53))),"",'Sample Loading Table'!A56)</f>
        <v>30</v>
      </c>
      <c r="D53" s="67"/>
      <c r="E53" s="68" t="str">
        <f>IF(OR((H53=0),(ISBLANK(H53))),"",'Sample Loading Table'!B56)</f>
        <v>MC 8 Skin</v>
      </c>
      <c r="F53" s="68"/>
      <c r="G53" s="68"/>
      <c r="H53" s="69">
        <f>'Sample Loading Table'!C56</f>
        <v>3.2500000000000001E-2</v>
      </c>
      <c r="I53" s="69"/>
      <c r="J53" s="69"/>
      <c r="P53" s="1">
        <f>P52+1</f>
        <v>42</v>
      </c>
      <c r="Q53" s="6">
        <f t="shared" ca="1" si="6"/>
        <v>17</v>
      </c>
      <c r="R53" s="6">
        <f ca="1">IF(R52=S52,OFFSET('Sample Loading Table'!$E$26,Q53,0),R52)</f>
        <v>3</v>
      </c>
      <c r="S53" s="1">
        <f ca="1">COUNTIF($Q$10:Q53,Q53)</f>
        <v>1</v>
      </c>
    </row>
    <row r="54" spans="3:19" ht="16">
      <c r="C54" s="67">
        <f>IF(OR((H54=0),(ISBLANK(H54))),"",'Sample Loading Table'!A57)</f>
        <v>31</v>
      </c>
      <c r="D54" s="67"/>
      <c r="E54" s="68" t="str">
        <f>IF(OR((H54=0),(ISBLANK(H54))),"",'Sample Loading Table'!B57)</f>
        <v>M C9 Skin</v>
      </c>
      <c r="F54" s="68"/>
      <c r="G54" s="68"/>
      <c r="H54" s="69">
        <f>'Sample Loading Table'!C57</f>
        <v>3.2500000000000001E-2</v>
      </c>
      <c r="I54" s="69"/>
      <c r="J54" s="69"/>
      <c r="P54" s="1">
        <f t="shared" si="1"/>
        <v>43</v>
      </c>
      <c r="Q54" s="6">
        <f ca="1">IF(R53=S53,Q53+1,Q53)</f>
        <v>17</v>
      </c>
      <c r="R54" s="6">
        <f ca="1">IF(R53=S53,OFFSET('Sample Loading Table'!$E$26,Q54,0),R53)</f>
        <v>3</v>
      </c>
      <c r="S54" s="1">
        <f ca="1">COUNTIF($Q$10:Q54,Q54)</f>
        <v>2</v>
      </c>
    </row>
    <row r="55" spans="3:19" ht="16">
      <c r="C55" s="67">
        <f>IF(OR((H55=0),(ISBLANK(H55))),"",'Sample Loading Table'!A58)</f>
        <v>32</v>
      </c>
      <c r="D55" s="67"/>
      <c r="E55" s="68" t="str">
        <f>IF(OR((H55=0),(ISBLANK(H55))),"",'Sample Loading Table'!B58)</f>
        <v>M C12 Skin</v>
      </c>
      <c r="F55" s="68"/>
      <c r="G55" s="68"/>
      <c r="H55" s="69">
        <f>'Sample Loading Table'!C58</f>
        <v>2.7E-2</v>
      </c>
      <c r="I55" s="69"/>
      <c r="J55" s="69"/>
      <c r="P55" s="1">
        <f t="shared" si="1"/>
        <v>44</v>
      </c>
      <c r="Q55" s="6">
        <f t="shared" ref="Q55:Q58" ca="1" si="7">IF(R54=S54,Q54+1,Q54)</f>
        <v>17</v>
      </c>
      <c r="R55" s="6">
        <f ca="1">IF(R54=S54,OFFSET('Sample Loading Table'!$E$26,Q55,0),R54)</f>
        <v>3</v>
      </c>
      <c r="S55" s="1">
        <f ca="1">COUNTIF($Q$10:Q55,Q55)</f>
        <v>3</v>
      </c>
    </row>
    <row r="56" spans="3:19" ht="16">
      <c r="C56" s="67">
        <f>IF(OR((H56=0),(ISBLANK(H56))),"",'Sample Loading Table'!A59)</f>
        <v>33</v>
      </c>
      <c r="D56" s="67"/>
      <c r="E56" s="68" t="str">
        <f>IF(OR((H56=0),(ISBLANK(H56))),"",'Sample Loading Table'!B59)</f>
        <v>F E4 Skin</v>
      </c>
      <c r="F56" s="68"/>
      <c r="G56" s="68"/>
      <c r="H56" s="69">
        <f>'Sample Loading Table'!C59</f>
        <v>2.7777777699999999E-2</v>
      </c>
      <c r="I56" s="69"/>
      <c r="J56" s="69"/>
      <c r="P56" s="1">
        <f t="shared" si="1"/>
        <v>45</v>
      </c>
      <c r="Q56" s="6">
        <f t="shared" ca="1" si="7"/>
        <v>18</v>
      </c>
      <c r="R56" s="6">
        <f ca="1">IF(R55=S55,OFFSET('Sample Loading Table'!$E$26,Q56,0),R55)</f>
        <v>3</v>
      </c>
      <c r="S56" s="1">
        <f ca="1">COUNTIF($Q$10:Q56,Q56)</f>
        <v>1</v>
      </c>
    </row>
    <row r="57" spans="3:19" ht="16">
      <c r="C57" s="67">
        <f>IF(OR((H57=0),(ISBLANK(H57))),"",'Sample Loading Table'!A60)</f>
        <v>34</v>
      </c>
      <c r="D57" s="67"/>
      <c r="E57" s="68" t="str">
        <f>IF(OR((H57=0),(ISBLANK(H57))),"",'Sample Loading Table'!B60)</f>
        <v>F D3 Skin</v>
      </c>
      <c r="F57" s="68"/>
      <c r="G57" s="68"/>
      <c r="H57" s="69">
        <f>'Sample Loading Table'!C60</f>
        <v>2.2499999999999999E-2</v>
      </c>
      <c r="I57" s="69"/>
      <c r="J57" s="69"/>
      <c r="P57" s="1">
        <f>P56+1</f>
        <v>46</v>
      </c>
      <c r="Q57" s="6">
        <f t="shared" ca="1" si="7"/>
        <v>18</v>
      </c>
      <c r="R57" s="6">
        <f ca="1">IF(R56=S56,OFFSET('Sample Loading Table'!$E$26,Q57,0),R56)</f>
        <v>3</v>
      </c>
      <c r="S57" s="1">
        <f ca="1">COUNTIF($Q$10:Q57,Q57)</f>
        <v>2</v>
      </c>
    </row>
    <row r="58" spans="3:19" ht="16">
      <c r="C58" s="67">
        <f>IF(OR((H58=0),(ISBLANK(H58))),"",'Sample Loading Table'!A61)</f>
        <v>35</v>
      </c>
      <c r="D58" s="67"/>
      <c r="E58" s="68" t="str">
        <f>IF(OR((H58=0),(ISBLANK(H58))),"",'Sample Loading Table'!B61)</f>
        <v>F E1 Skin</v>
      </c>
      <c r="F58" s="68"/>
      <c r="G58" s="68"/>
      <c r="H58" s="69">
        <f>'Sample Loading Table'!C61</f>
        <v>2.7777777699999999E-2</v>
      </c>
      <c r="I58" s="69"/>
      <c r="J58" s="69"/>
      <c r="P58" s="1">
        <f t="shared" si="1"/>
        <v>47</v>
      </c>
      <c r="Q58" s="6">
        <f t="shared" ca="1" si="7"/>
        <v>18</v>
      </c>
      <c r="R58" s="6">
        <f ca="1">IF(R57=S57,OFFSET('Sample Loading Table'!$E$26,Q58,0),R57)</f>
        <v>3</v>
      </c>
      <c r="S58" s="1">
        <f ca="1">COUNTIF($Q$10:Q58,Q58)</f>
        <v>3</v>
      </c>
    </row>
    <row r="59" spans="3:19" ht="16">
      <c r="C59" s="67">
        <f>IF(OR((H59=0),(ISBLANK(H59))),"",'Sample Loading Table'!A62)</f>
        <v>36</v>
      </c>
      <c r="D59" s="67"/>
      <c r="E59" s="68" t="str">
        <f>IF(OR((H59=0),(ISBLANK(H59))),"",'Sample Loading Table'!B62)</f>
        <v>F F1 Skin</v>
      </c>
      <c r="F59" s="68"/>
      <c r="G59" s="68"/>
      <c r="H59" s="69">
        <f>'Sample Loading Table'!C62</f>
        <v>2.7777777699999999E-2</v>
      </c>
      <c r="I59" s="69"/>
      <c r="J59" s="69"/>
      <c r="P59" s="1">
        <f t="shared" si="1"/>
        <v>48</v>
      </c>
      <c r="Q59" s="6">
        <f t="shared" ref="Q59:Q105" ca="1" si="8">IF(R58=S58,Q58+1,Q58)</f>
        <v>19</v>
      </c>
      <c r="R59" s="6">
        <f ca="1">IF(R58=S58,OFFSET('Sample Loading Table'!$E$26,Q59,0),R58)</f>
        <v>3</v>
      </c>
      <c r="S59" s="1">
        <f ca="1">COUNTIF($Q$10:Q59,Q59)</f>
        <v>1</v>
      </c>
    </row>
    <row r="60" spans="3:19" ht="16">
      <c r="C60" s="67" t="str">
        <f>IF(OR((H60=0),(ISBLANK(H60))),"",'Sample Loading Table'!A63)</f>
        <v/>
      </c>
      <c r="D60" s="67"/>
      <c r="E60" s="68" t="str">
        <f>IF(OR((H60=0),(ISBLANK(H60))),"",'Sample Loading Table'!B63)</f>
        <v/>
      </c>
      <c r="F60" s="68"/>
      <c r="G60" s="68"/>
      <c r="H60" s="69">
        <f>'Sample Loading Table'!C63</f>
        <v>0</v>
      </c>
      <c r="I60" s="69"/>
      <c r="J60" s="69"/>
      <c r="P60" s="1">
        <f t="shared" si="1"/>
        <v>49</v>
      </c>
      <c r="Q60" s="6">
        <f t="shared" ca="1" si="8"/>
        <v>19</v>
      </c>
      <c r="R60" s="6">
        <f ca="1">IF(R59=S59,OFFSET('Sample Loading Table'!$E$26,Q60,0),R59)</f>
        <v>3</v>
      </c>
      <c r="S60" s="1">
        <f ca="1">COUNTIF($Q$10:Q60,Q60)</f>
        <v>2</v>
      </c>
    </row>
    <row r="61" spans="3:19" ht="16">
      <c r="C61" s="67" t="str">
        <f>IF(OR((H61=0),(ISBLANK(H61))),"",'Sample Loading Table'!A64)</f>
        <v/>
      </c>
      <c r="D61" s="67"/>
      <c r="E61" s="68" t="str">
        <f>IF(OR((H61=0),(ISBLANK(H61))),"",'Sample Loading Table'!B64)</f>
        <v/>
      </c>
      <c r="F61" s="68"/>
      <c r="G61" s="68"/>
      <c r="H61" s="69">
        <f>'Sample Loading Table'!C64</f>
        <v>0</v>
      </c>
      <c r="I61" s="69"/>
      <c r="J61" s="69"/>
      <c r="P61" s="1">
        <f t="shared" si="1"/>
        <v>50</v>
      </c>
      <c r="Q61" s="6">
        <f t="shared" ca="1" si="8"/>
        <v>19</v>
      </c>
      <c r="R61" s="6">
        <f ca="1">IF(R60=S60,OFFSET('Sample Loading Table'!$E$26,Q61,0),R60)</f>
        <v>3</v>
      </c>
      <c r="S61" s="1">
        <f ca="1">COUNTIF($Q$10:Q61,Q61)</f>
        <v>3</v>
      </c>
    </row>
    <row r="62" spans="3:19" ht="16">
      <c r="C62" s="67" t="str">
        <f>IF(OR((H62=0),(ISBLANK(H62))),"",'Sample Loading Table'!A65)</f>
        <v/>
      </c>
      <c r="D62" s="67"/>
      <c r="E62" s="68" t="str">
        <f>IF(OR((H62=0),(ISBLANK(H62))),"",'Sample Loading Table'!B65)</f>
        <v/>
      </c>
      <c r="F62" s="68"/>
      <c r="G62" s="68"/>
      <c r="H62" s="69">
        <f>'Sample Loading Table'!C65</f>
        <v>0</v>
      </c>
      <c r="I62" s="69"/>
      <c r="J62" s="69"/>
      <c r="P62" s="1">
        <f t="shared" si="1"/>
        <v>51</v>
      </c>
      <c r="Q62" s="6">
        <f t="shared" ca="1" si="8"/>
        <v>20</v>
      </c>
      <c r="R62" s="6">
        <f ca="1">IF(R61=S61,OFFSET('Sample Loading Table'!$E$26,Q62,0),R61)</f>
        <v>3</v>
      </c>
      <c r="S62" s="1">
        <f ca="1">COUNTIF($Q$10:Q62,Q62)</f>
        <v>1</v>
      </c>
    </row>
    <row r="63" spans="3:19" ht="16">
      <c r="C63" s="67" t="str">
        <f>IF(OR((H63=0),(ISBLANK(H63))),"",'Sample Loading Table'!A66)</f>
        <v/>
      </c>
      <c r="D63" s="67"/>
      <c r="E63" s="68" t="str">
        <f>IF(OR((H63=0),(ISBLANK(H63))),"",'Sample Loading Table'!B66)</f>
        <v/>
      </c>
      <c r="F63" s="68"/>
      <c r="G63" s="68"/>
      <c r="H63" s="69">
        <f>'Sample Loading Table'!C66</f>
        <v>0</v>
      </c>
      <c r="I63" s="69"/>
      <c r="J63" s="69"/>
      <c r="P63" s="1">
        <f t="shared" si="1"/>
        <v>52</v>
      </c>
      <c r="Q63" s="6">
        <f t="shared" ca="1" si="8"/>
        <v>20</v>
      </c>
      <c r="R63" s="6">
        <f ca="1">IF(R62=S62,OFFSET('Sample Loading Table'!$E$26,Q63,0),R62)</f>
        <v>3</v>
      </c>
      <c r="S63" s="1">
        <f ca="1">COUNTIF($Q$10:Q63,Q63)</f>
        <v>2</v>
      </c>
    </row>
    <row r="64" spans="3:19" ht="16">
      <c r="C64" s="67" t="str">
        <f>IF(OR((H64=0),(ISBLANK(H64))),"",'Sample Loading Table'!A67)</f>
        <v/>
      </c>
      <c r="D64" s="67"/>
      <c r="E64" s="68" t="str">
        <f>IF(OR((H64=0),(ISBLANK(H64))),"",'Sample Loading Table'!B67)</f>
        <v/>
      </c>
      <c r="F64" s="68"/>
      <c r="G64" s="68"/>
      <c r="H64" s="69">
        <f>'Sample Loading Table'!C67</f>
        <v>0</v>
      </c>
      <c r="I64" s="69"/>
      <c r="J64" s="69"/>
      <c r="P64" s="1">
        <f t="shared" si="1"/>
        <v>53</v>
      </c>
      <c r="Q64" s="6">
        <f t="shared" ca="1" si="8"/>
        <v>20</v>
      </c>
      <c r="R64" s="6">
        <f ca="1">IF(R63=S63,OFFSET('Sample Loading Table'!$E$26,Q64,0),R63)</f>
        <v>3</v>
      </c>
      <c r="S64" s="1">
        <f ca="1">COUNTIF($Q$10:Q64,Q64)</f>
        <v>3</v>
      </c>
    </row>
    <row r="65" spans="3:19" ht="16">
      <c r="C65" s="67" t="str">
        <f>IF(OR((H65=0),(ISBLANK(H65))),"",'Sample Loading Table'!A68)</f>
        <v/>
      </c>
      <c r="D65" s="67"/>
      <c r="E65" s="68" t="str">
        <f>IF(OR((H65=0),(ISBLANK(H65))),"",'Sample Loading Table'!B68)</f>
        <v/>
      </c>
      <c r="F65" s="68"/>
      <c r="G65" s="68"/>
      <c r="H65" s="69">
        <f>'Sample Loading Table'!C68</f>
        <v>0</v>
      </c>
      <c r="I65" s="69"/>
      <c r="J65" s="69"/>
      <c r="P65" s="1">
        <f t="shared" si="1"/>
        <v>54</v>
      </c>
      <c r="Q65" s="6">
        <f t="shared" ca="1" si="8"/>
        <v>21</v>
      </c>
      <c r="R65" s="6">
        <f ca="1">IF(R64=S64,OFFSET('Sample Loading Table'!$E$26,Q65,0),R64)</f>
        <v>2</v>
      </c>
      <c r="S65" s="1">
        <f ca="1">COUNTIF($Q$10:Q65,Q65)</f>
        <v>1</v>
      </c>
    </row>
    <row r="66" spans="3:19" ht="16">
      <c r="C66" s="67" t="str">
        <f>IF(OR((H66=0),(ISBLANK(H66))),"",'Sample Loading Table'!A69)</f>
        <v/>
      </c>
      <c r="D66" s="67"/>
      <c r="E66" s="68" t="str">
        <f>IF(OR((H66=0),(ISBLANK(H66))),"",'Sample Loading Table'!B69)</f>
        <v/>
      </c>
      <c r="F66" s="68"/>
      <c r="G66" s="68"/>
      <c r="H66" s="69">
        <f>'Sample Loading Table'!C69</f>
        <v>0</v>
      </c>
      <c r="I66" s="69"/>
      <c r="J66" s="69"/>
      <c r="P66" s="1">
        <f t="shared" si="1"/>
        <v>55</v>
      </c>
      <c r="Q66" s="6">
        <f t="shared" ca="1" si="8"/>
        <v>21</v>
      </c>
      <c r="R66" s="6">
        <f ca="1">IF(R65=S65,OFFSET('Sample Loading Table'!$E$26,Q66,0),R65)</f>
        <v>2</v>
      </c>
      <c r="S66" s="1">
        <f ca="1">COUNTIF($Q$10:Q66,Q66)</f>
        <v>2</v>
      </c>
    </row>
    <row r="67" spans="3:19" ht="16">
      <c r="C67" s="67" t="str">
        <f>IF(OR((H67=0),(ISBLANK(H67))),"",'Sample Loading Table'!A70)</f>
        <v/>
      </c>
      <c r="D67" s="67"/>
      <c r="E67" s="68" t="str">
        <f>IF(OR((H67=0),(ISBLANK(H67))),"",'Sample Loading Table'!B70)</f>
        <v/>
      </c>
      <c r="F67" s="68"/>
      <c r="G67" s="68"/>
      <c r="H67" s="69">
        <f>'Sample Loading Table'!C70</f>
        <v>0</v>
      </c>
      <c r="I67" s="69"/>
      <c r="J67" s="69"/>
      <c r="P67" s="1">
        <f t="shared" si="1"/>
        <v>56</v>
      </c>
      <c r="Q67" s="6">
        <f t="shared" ca="1" si="8"/>
        <v>22</v>
      </c>
      <c r="R67" s="6">
        <f ca="1">IF(R66=S66,OFFSET('Sample Loading Table'!$E$26,Q67,0),R66)</f>
        <v>2</v>
      </c>
      <c r="S67" s="1">
        <f ca="1">COUNTIF($Q$10:Q67,Q67)</f>
        <v>1</v>
      </c>
    </row>
    <row r="68" spans="3:19" ht="16">
      <c r="C68" s="67" t="str">
        <f>IF(OR((H68=0),(ISBLANK(H68))),"",'Sample Loading Table'!A71)</f>
        <v/>
      </c>
      <c r="D68" s="67"/>
      <c r="E68" s="68" t="str">
        <f>IF(OR((H68=0),(ISBLANK(H68))),"",'Sample Loading Table'!B71)</f>
        <v/>
      </c>
      <c r="F68" s="68"/>
      <c r="G68" s="68"/>
      <c r="H68" s="69">
        <f>'Sample Loading Table'!C71</f>
        <v>0</v>
      </c>
      <c r="I68" s="69"/>
      <c r="J68" s="69"/>
      <c r="P68" s="1">
        <f t="shared" si="1"/>
        <v>57</v>
      </c>
      <c r="Q68" s="6">
        <f t="shared" ca="1" si="8"/>
        <v>22</v>
      </c>
      <c r="R68" s="6">
        <f ca="1">IF(R67=S67,OFFSET('Sample Loading Table'!$E$26,Q68,0),R67)</f>
        <v>2</v>
      </c>
      <c r="S68" s="1">
        <f ca="1">COUNTIF($Q$10:Q68,Q68)</f>
        <v>2</v>
      </c>
    </row>
    <row r="69" spans="3:19" ht="16">
      <c r="C69" s="67" t="str">
        <f>IF(OR((H69=0),(ISBLANK(H69))),"",'Sample Loading Table'!A72)</f>
        <v/>
      </c>
      <c r="D69" s="67"/>
      <c r="E69" s="68" t="str">
        <f>IF(OR((H69=0),(ISBLANK(H69))),"",'Sample Loading Table'!B72)</f>
        <v/>
      </c>
      <c r="F69" s="68"/>
      <c r="G69" s="68"/>
      <c r="H69" s="69">
        <f>'Sample Loading Table'!C72</f>
        <v>0</v>
      </c>
      <c r="I69" s="69"/>
      <c r="J69" s="69"/>
      <c r="P69" s="1">
        <f t="shared" si="1"/>
        <v>58</v>
      </c>
      <c r="Q69" s="6">
        <f t="shared" ca="1" si="8"/>
        <v>23</v>
      </c>
      <c r="R69" s="6">
        <f ca="1">IF(R68=S68,OFFSET('Sample Loading Table'!$E$26,Q69,0),R68)</f>
        <v>2</v>
      </c>
      <c r="S69" s="1">
        <f ca="1">COUNTIF($Q$10:Q69,Q69)</f>
        <v>1</v>
      </c>
    </row>
    <row r="70" spans="3:19" ht="16">
      <c r="C70" s="67" t="str">
        <f>IF(OR((H70=0),(ISBLANK(H70))),"",'Sample Loading Table'!A73)</f>
        <v/>
      </c>
      <c r="D70" s="67"/>
      <c r="E70" s="68" t="str">
        <f>IF(OR((H70=0),(ISBLANK(H70))),"",'Sample Loading Table'!B73)</f>
        <v/>
      </c>
      <c r="F70" s="68"/>
      <c r="G70" s="68"/>
      <c r="H70" s="69">
        <f>'Sample Loading Table'!C73</f>
        <v>0</v>
      </c>
      <c r="I70" s="69"/>
      <c r="J70" s="69"/>
      <c r="P70" s="1">
        <f t="shared" si="1"/>
        <v>59</v>
      </c>
      <c r="Q70" s="6">
        <f t="shared" ca="1" si="8"/>
        <v>23</v>
      </c>
      <c r="R70" s="6">
        <f ca="1">IF(R69=S69,OFFSET('Sample Loading Table'!$E$26,Q70,0),R69)</f>
        <v>2</v>
      </c>
      <c r="S70" s="1">
        <f ca="1">COUNTIF($Q$10:Q70,Q70)</f>
        <v>2</v>
      </c>
    </row>
    <row r="71" spans="3:19" ht="16">
      <c r="C71" s="67" t="str">
        <f>IF(OR((H71=0),(ISBLANK(H71))),"",'Sample Loading Table'!A74)</f>
        <v/>
      </c>
      <c r="D71" s="67"/>
      <c r="E71" s="68" t="str">
        <f>IF(OR((H71=0),(ISBLANK(H71))),"",'Sample Loading Table'!B74)</f>
        <v/>
      </c>
      <c r="F71" s="68"/>
      <c r="G71" s="68"/>
      <c r="H71" s="69">
        <f>'Sample Loading Table'!C74</f>
        <v>0</v>
      </c>
      <c r="I71" s="69"/>
      <c r="J71" s="69"/>
      <c r="P71" s="1">
        <f t="shared" si="1"/>
        <v>60</v>
      </c>
      <c r="Q71" s="6">
        <f t="shared" ca="1" si="8"/>
        <v>24</v>
      </c>
      <c r="R71" s="6">
        <f ca="1">IF(R70=S70,OFFSET('Sample Loading Table'!$E$26,Q71,0),R70)</f>
        <v>2</v>
      </c>
      <c r="S71" s="1">
        <f ca="1">COUNTIF($Q$10:Q71,Q71)</f>
        <v>1</v>
      </c>
    </row>
    <row r="72" spans="3:19" ht="16">
      <c r="C72" s="67" t="str">
        <f>IF(OR((H72=0),(ISBLANK(H72))),"",'Sample Loading Table'!A75)</f>
        <v/>
      </c>
      <c r="D72" s="67"/>
      <c r="E72" s="68" t="str">
        <f>IF(OR((H72=0),(ISBLANK(H72))),"",'Sample Loading Table'!B75)</f>
        <v/>
      </c>
      <c r="F72" s="68"/>
      <c r="G72" s="68"/>
      <c r="H72" s="69">
        <f>'Sample Loading Table'!C75</f>
        <v>0</v>
      </c>
      <c r="I72" s="69"/>
      <c r="J72" s="69"/>
      <c r="P72" s="1">
        <f t="shared" si="1"/>
        <v>61</v>
      </c>
      <c r="Q72" s="6">
        <f t="shared" ca="1" si="8"/>
        <v>24</v>
      </c>
      <c r="R72" s="6">
        <f ca="1">IF(R71=S71,OFFSET('Sample Loading Table'!$E$26,Q72,0),R71)</f>
        <v>2</v>
      </c>
      <c r="S72" s="1">
        <f ca="1">COUNTIF($Q$10:Q72,Q72)</f>
        <v>2</v>
      </c>
    </row>
    <row r="73" spans="3:19" ht="16">
      <c r="C73" s="67" t="str">
        <f>IF(OR((H73=0),(ISBLANK(H73))),"",'Sample Loading Table'!A76)</f>
        <v/>
      </c>
      <c r="D73" s="67"/>
      <c r="E73" s="68" t="str">
        <f>IF(OR((H73=0),(ISBLANK(H73))),"",'Sample Loading Table'!B76)</f>
        <v/>
      </c>
      <c r="F73" s="68"/>
      <c r="G73" s="68"/>
      <c r="H73" s="69">
        <f>'Sample Loading Table'!C76</f>
        <v>0</v>
      </c>
      <c r="I73" s="69"/>
      <c r="J73" s="69"/>
      <c r="P73" s="1">
        <f t="shared" si="1"/>
        <v>62</v>
      </c>
      <c r="Q73" s="6">
        <f t="shared" ca="1" si="8"/>
        <v>25</v>
      </c>
      <c r="R73" s="6">
        <f ca="1">IF(R72=S72,OFFSET('Sample Loading Table'!$E$26,Q73,0),R72)</f>
        <v>2</v>
      </c>
      <c r="S73" s="1">
        <f ca="1">COUNTIF($Q$10:Q73,Q73)</f>
        <v>1</v>
      </c>
    </row>
    <row r="74" spans="3:19" ht="16">
      <c r="C74" s="67" t="str">
        <f>IF(OR((H74=0),(ISBLANK(H74))),"",'Sample Loading Table'!A77)</f>
        <v/>
      </c>
      <c r="D74" s="67"/>
      <c r="E74" s="68" t="str">
        <f>IF(OR((H74=0),(ISBLANK(H74))),"",'Sample Loading Table'!B77)</f>
        <v/>
      </c>
      <c r="F74" s="68"/>
      <c r="G74" s="68"/>
      <c r="H74" s="69">
        <f>'Sample Loading Table'!C77</f>
        <v>0</v>
      </c>
      <c r="I74" s="69"/>
      <c r="J74" s="69"/>
      <c r="P74" s="1">
        <f t="shared" si="1"/>
        <v>63</v>
      </c>
      <c r="Q74" s="6">
        <f t="shared" ca="1" si="8"/>
        <v>25</v>
      </c>
      <c r="R74" s="6">
        <f ca="1">IF(R73=S73,OFFSET('Sample Loading Table'!$E$26,Q74,0),R73)</f>
        <v>2</v>
      </c>
      <c r="S74" s="1">
        <f ca="1">COUNTIF($Q$10:Q74,Q74)</f>
        <v>2</v>
      </c>
    </row>
    <row r="75" spans="3:19" ht="16">
      <c r="C75" s="67" t="str">
        <f>IF(OR((H75=0),(ISBLANK(H75))),"",'Sample Loading Table'!A78)</f>
        <v/>
      </c>
      <c r="D75" s="67"/>
      <c r="E75" s="68" t="str">
        <f>IF(OR((H75=0),(ISBLANK(H75))),"",'Sample Loading Table'!B78)</f>
        <v/>
      </c>
      <c r="F75" s="68"/>
      <c r="G75" s="68"/>
      <c r="H75" s="69">
        <f>'Sample Loading Table'!C78</f>
        <v>0</v>
      </c>
      <c r="I75" s="69"/>
      <c r="J75" s="69"/>
      <c r="P75" s="1">
        <f t="shared" si="1"/>
        <v>64</v>
      </c>
      <c r="Q75" s="6">
        <f t="shared" ca="1" si="8"/>
        <v>26</v>
      </c>
      <c r="R75" s="6">
        <f ca="1">IF(R74=S74,OFFSET('Sample Loading Table'!$E$26,Q75,0),R74)</f>
        <v>3</v>
      </c>
      <c r="S75" s="1">
        <f ca="1">COUNTIF($Q$10:Q75,Q75)</f>
        <v>1</v>
      </c>
    </row>
    <row r="76" spans="3:19" ht="16">
      <c r="C76" s="67" t="str">
        <f>IF(OR((H76=0),(ISBLANK(H76))),"",'Sample Loading Table'!A79)</f>
        <v/>
      </c>
      <c r="D76" s="67"/>
      <c r="E76" s="68" t="str">
        <f>IF(OR((H76=0),(ISBLANK(H76))),"",'Sample Loading Table'!B79)</f>
        <v/>
      </c>
      <c r="F76" s="68"/>
      <c r="G76" s="68"/>
      <c r="H76" s="69">
        <f>'Sample Loading Table'!C79</f>
        <v>0</v>
      </c>
      <c r="I76" s="69"/>
      <c r="J76" s="69"/>
      <c r="P76" s="1">
        <f t="shared" ref="P76:P107" si="9">P75+1</f>
        <v>65</v>
      </c>
      <c r="Q76" s="6">
        <f t="shared" ca="1" si="8"/>
        <v>26</v>
      </c>
      <c r="R76" s="6">
        <f ca="1">IF(R75=S75,OFFSET('Sample Loading Table'!$E$26,Q76,0),R75)</f>
        <v>3</v>
      </c>
      <c r="S76" s="1">
        <f ca="1">COUNTIF($Q$10:Q76,Q76)</f>
        <v>2</v>
      </c>
    </row>
    <row r="77" spans="3:19" ht="16">
      <c r="C77" s="67" t="str">
        <f>IF(OR((H77=0),(ISBLANK(H77))),"",'Sample Loading Table'!A80)</f>
        <v/>
      </c>
      <c r="D77" s="67"/>
      <c r="E77" s="68" t="str">
        <f>IF(OR((H77=0),(ISBLANK(H77))),"",'Sample Loading Table'!B80)</f>
        <v/>
      </c>
      <c r="F77" s="68"/>
      <c r="G77" s="68"/>
      <c r="H77" s="69">
        <f>'Sample Loading Table'!C80</f>
        <v>0</v>
      </c>
      <c r="I77" s="69"/>
      <c r="J77" s="69"/>
      <c r="P77" s="1">
        <f t="shared" si="9"/>
        <v>66</v>
      </c>
      <c r="Q77" s="6">
        <f t="shared" ca="1" si="8"/>
        <v>26</v>
      </c>
      <c r="R77" s="6">
        <f ca="1">IF(R76=S76,OFFSET('Sample Loading Table'!$E$26,Q77,0),R76)</f>
        <v>3</v>
      </c>
      <c r="S77" s="1">
        <f ca="1">COUNTIF($Q$10:Q77,Q77)</f>
        <v>3</v>
      </c>
    </row>
    <row r="78" spans="3:19" ht="16">
      <c r="C78" s="67" t="str">
        <f>IF(OR((H78=0),(ISBLANK(H78))),"",'Sample Loading Table'!A81)</f>
        <v/>
      </c>
      <c r="D78" s="67"/>
      <c r="E78" s="68" t="str">
        <f>IF(OR((H78=0),(ISBLANK(H78))),"",'Sample Loading Table'!B81)</f>
        <v/>
      </c>
      <c r="F78" s="68"/>
      <c r="G78" s="68"/>
      <c r="H78" s="69">
        <f>'Sample Loading Table'!C81</f>
        <v>0</v>
      </c>
      <c r="I78" s="69"/>
      <c r="J78" s="69"/>
      <c r="P78" s="1">
        <f t="shared" si="9"/>
        <v>67</v>
      </c>
      <c r="Q78" s="6">
        <f t="shared" ca="1" si="8"/>
        <v>27</v>
      </c>
      <c r="R78" s="6">
        <f ca="1">IF(R77=S77,OFFSET('Sample Loading Table'!$E$26,Q78,0),R77)</f>
        <v>2</v>
      </c>
      <c r="S78" s="1">
        <f ca="1">COUNTIF($Q$10:Q78,Q78)</f>
        <v>1</v>
      </c>
    </row>
    <row r="79" spans="3:19" ht="16">
      <c r="C79" s="67" t="str">
        <f>IF(OR((H79=0),(ISBLANK(H79))),"",'Sample Loading Table'!A82)</f>
        <v/>
      </c>
      <c r="D79" s="67"/>
      <c r="E79" s="68" t="str">
        <f>IF(OR((H79=0),(ISBLANK(H79))),"",'Sample Loading Table'!B82)</f>
        <v/>
      </c>
      <c r="F79" s="68"/>
      <c r="G79" s="68"/>
      <c r="H79" s="69">
        <f>'Sample Loading Table'!C82</f>
        <v>0</v>
      </c>
      <c r="I79" s="69"/>
      <c r="J79" s="69"/>
      <c r="P79" s="1">
        <f t="shared" si="9"/>
        <v>68</v>
      </c>
      <c r="Q79" s="6">
        <f t="shared" ca="1" si="8"/>
        <v>27</v>
      </c>
      <c r="R79" s="6">
        <f ca="1">IF(R78=S78,OFFSET('Sample Loading Table'!$E$26,Q79,0),R78)</f>
        <v>2</v>
      </c>
      <c r="S79" s="1">
        <f ca="1">COUNTIF($Q$10:Q79,Q79)</f>
        <v>2</v>
      </c>
    </row>
    <row r="80" spans="3:19" ht="16">
      <c r="C80" s="67" t="str">
        <f>IF(OR((H80=0),(ISBLANK(H80))),"",'Sample Loading Table'!A83)</f>
        <v/>
      </c>
      <c r="D80" s="67"/>
      <c r="E80" s="68" t="str">
        <f>IF(OR((H80=0),(ISBLANK(H80))),"",'Sample Loading Table'!B83)</f>
        <v/>
      </c>
      <c r="F80" s="68"/>
      <c r="G80" s="68"/>
      <c r="H80" s="69">
        <f>'Sample Loading Table'!C83</f>
        <v>0</v>
      </c>
      <c r="I80" s="69"/>
      <c r="J80" s="69"/>
      <c r="P80" s="1">
        <f t="shared" si="9"/>
        <v>69</v>
      </c>
      <c r="Q80" s="6">
        <f t="shared" ca="1" si="8"/>
        <v>28</v>
      </c>
      <c r="R80" s="6">
        <f ca="1">IF(R79=S79,OFFSET('Sample Loading Table'!$E$26,Q80,0),R79)</f>
        <v>2</v>
      </c>
      <c r="S80" s="1">
        <f ca="1">COUNTIF($Q$10:Q80,Q80)</f>
        <v>1</v>
      </c>
    </row>
    <row r="81" spans="3:19" ht="16">
      <c r="C81" s="67" t="str">
        <f>IF(OR((H81=0),(ISBLANK(H81))),"",'Sample Loading Table'!A84)</f>
        <v/>
      </c>
      <c r="D81" s="67"/>
      <c r="E81" s="68" t="str">
        <f>IF(OR((H81=0),(ISBLANK(H81))),"",'Sample Loading Table'!B84)</f>
        <v/>
      </c>
      <c r="F81" s="68"/>
      <c r="G81" s="68"/>
      <c r="H81" s="69">
        <f>'Sample Loading Table'!C84</f>
        <v>0</v>
      </c>
      <c r="I81" s="69"/>
      <c r="J81" s="69"/>
      <c r="P81" s="1">
        <f t="shared" si="9"/>
        <v>70</v>
      </c>
      <c r="Q81" s="6">
        <f t="shared" ca="1" si="8"/>
        <v>28</v>
      </c>
      <c r="R81" s="6">
        <f ca="1">IF(R80=S80,OFFSET('Sample Loading Table'!$E$26,Q81,0),R80)</f>
        <v>2</v>
      </c>
      <c r="S81" s="1">
        <f ca="1">COUNTIF($Q$10:Q81,Q81)</f>
        <v>2</v>
      </c>
    </row>
    <row r="82" spans="3:19" ht="16">
      <c r="C82" s="67" t="str">
        <f>IF(OR((H82=0),(ISBLANK(H82))),"",'Sample Loading Table'!A85)</f>
        <v/>
      </c>
      <c r="D82" s="67"/>
      <c r="E82" s="68" t="str">
        <f>IF(OR((H82=0),(ISBLANK(H82))),"",'Sample Loading Table'!B85)</f>
        <v/>
      </c>
      <c r="F82" s="68"/>
      <c r="G82" s="68"/>
      <c r="H82" s="69">
        <f>'Sample Loading Table'!C85</f>
        <v>0</v>
      </c>
      <c r="I82" s="69"/>
      <c r="J82" s="69"/>
      <c r="P82" s="1">
        <f t="shared" si="9"/>
        <v>71</v>
      </c>
      <c r="Q82" s="6">
        <f t="shared" ca="1" si="8"/>
        <v>29</v>
      </c>
      <c r="R82" s="6">
        <f ca="1">IF(R81=S81,OFFSET('Sample Loading Table'!$E$26,Q82,0),R81)</f>
        <v>4</v>
      </c>
      <c r="S82" s="1">
        <f ca="1">COUNTIF($Q$10:Q82,Q82)</f>
        <v>1</v>
      </c>
    </row>
    <row r="83" spans="3:19" ht="16">
      <c r="C83" s="67" t="str">
        <f>IF(OR((H83=0),(ISBLANK(H83))),"",'Sample Loading Table'!A86)</f>
        <v/>
      </c>
      <c r="D83" s="67"/>
      <c r="E83" s="68" t="str">
        <f>IF(OR((H83=0),(ISBLANK(H83))),"",'Sample Loading Table'!B86)</f>
        <v/>
      </c>
      <c r="F83" s="68"/>
      <c r="G83" s="68"/>
      <c r="H83" s="69">
        <f>'Sample Loading Table'!C86</f>
        <v>0</v>
      </c>
      <c r="I83" s="69"/>
      <c r="J83" s="69"/>
      <c r="P83" s="1">
        <f t="shared" si="9"/>
        <v>72</v>
      </c>
      <c r="Q83" s="6">
        <f t="shared" ca="1" si="8"/>
        <v>29</v>
      </c>
      <c r="R83" s="6">
        <f ca="1">IF(R82=S82,OFFSET('Sample Loading Table'!$E$26,Q83,0),R82)</f>
        <v>4</v>
      </c>
      <c r="S83" s="1">
        <f ca="1">COUNTIF($Q$10:Q83,Q83)</f>
        <v>2</v>
      </c>
    </row>
    <row r="84" spans="3:19" ht="16">
      <c r="C84" s="67" t="str">
        <f>IF(OR((H84=0),(ISBLANK(H84))),"",'Sample Loading Table'!A87)</f>
        <v/>
      </c>
      <c r="D84" s="67"/>
      <c r="E84" s="68" t="str">
        <f>IF(OR((H84=0),(ISBLANK(H84))),"",'Sample Loading Table'!B87)</f>
        <v/>
      </c>
      <c r="F84" s="68"/>
      <c r="G84" s="68"/>
      <c r="H84" s="69">
        <f>'Sample Loading Table'!C87</f>
        <v>0</v>
      </c>
      <c r="I84" s="69"/>
      <c r="J84" s="69"/>
      <c r="P84" s="1">
        <f t="shared" si="9"/>
        <v>73</v>
      </c>
      <c r="Q84" s="6">
        <f t="shared" ca="1" si="8"/>
        <v>29</v>
      </c>
      <c r="R84" s="6">
        <f ca="1">IF(R83=S83,OFFSET('Sample Loading Table'!$E$26,Q84,0),R83)</f>
        <v>4</v>
      </c>
      <c r="S84" s="1">
        <f ca="1">COUNTIF($Q$10:Q84,Q84)</f>
        <v>3</v>
      </c>
    </row>
    <row r="85" spans="3:19" ht="16">
      <c r="C85" s="67" t="str">
        <f>IF(OR((H85=0),(ISBLANK(H85))),"",'Sample Loading Table'!A88)</f>
        <v/>
      </c>
      <c r="D85" s="67"/>
      <c r="E85" s="68" t="str">
        <f>IF(OR((H85=0),(ISBLANK(H85))),"",'Sample Loading Table'!B88)</f>
        <v/>
      </c>
      <c r="F85" s="68"/>
      <c r="G85" s="68"/>
      <c r="H85" s="69">
        <f>'Sample Loading Table'!C88</f>
        <v>0</v>
      </c>
      <c r="I85" s="69"/>
      <c r="J85" s="69"/>
      <c r="P85" s="1">
        <f t="shared" si="9"/>
        <v>74</v>
      </c>
      <c r="Q85" s="6">
        <f t="shared" ca="1" si="8"/>
        <v>29</v>
      </c>
      <c r="R85" s="6">
        <f ca="1">IF(R84=S84,OFFSET('Sample Loading Table'!$E$26,Q85,0),R84)</f>
        <v>4</v>
      </c>
      <c r="S85" s="1">
        <f ca="1">COUNTIF($Q$10:Q85,Q85)</f>
        <v>4</v>
      </c>
    </row>
    <row r="86" spans="3:19" ht="16">
      <c r="C86" s="67" t="str">
        <f>IF(OR((H86=0),(ISBLANK(H86))),"",'Sample Loading Table'!A89)</f>
        <v/>
      </c>
      <c r="D86" s="67"/>
      <c r="E86" s="68" t="str">
        <f>IF(OR((H86=0),(ISBLANK(H86))),"",'Sample Loading Table'!B89)</f>
        <v/>
      </c>
      <c r="F86" s="68"/>
      <c r="G86" s="68"/>
      <c r="H86" s="69">
        <f>'Sample Loading Table'!C89</f>
        <v>0</v>
      </c>
      <c r="I86" s="69"/>
      <c r="J86" s="69"/>
      <c r="P86" s="1">
        <f t="shared" si="9"/>
        <v>75</v>
      </c>
      <c r="Q86" s="6">
        <f t="shared" ca="1" si="8"/>
        <v>30</v>
      </c>
      <c r="R86" s="6">
        <f ca="1">IF(R85=S85,OFFSET('Sample Loading Table'!$E$26,Q86,0),R85)</f>
        <v>3</v>
      </c>
      <c r="S86" s="1">
        <f ca="1">COUNTIF($Q$10:Q86,Q86)</f>
        <v>1</v>
      </c>
    </row>
    <row r="87" spans="3:19" ht="16">
      <c r="C87" s="67" t="str">
        <f>IF(OR((H87=0),(ISBLANK(H87))),"",'Sample Loading Table'!A90)</f>
        <v/>
      </c>
      <c r="D87" s="67"/>
      <c r="E87" s="68" t="str">
        <f>IF(OR((H87=0),(ISBLANK(H87))),"",'Sample Loading Table'!B90)</f>
        <v/>
      </c>
      <c r="F87" s="68"/>
      <c r="G87" s="68"/>
      <c r="H87" s="69">
        <f>'Sample Loading Table'!C90</f>
        <v>0</v>
      </c>
      <c r="I87" s="69"/>
      <c r="J87" s="69"/>
      <c r="P87" s="1">
        <f t="shared" si="9"/>
        <v>76</v>
      </c>
      <c r="Q87" s="6">
        <f t="shared" ca="1" si="8"/>
        <v>30</v>
      </c>
      <c r="R87" s="6">
        <f ca="1">IF(R86=S86,OFFSET('Sample Loading Table'!$E$26,Q87,0),R86)</f>
        <v>3</v>
      </c>
      <c r="S87" s="1">
        <f ca="1">COUNTIF($Q$10:Q87,Q87)</f>
        <v>2</v>
      </c>
    </row>
    <row r="88" spans="3:19" ht="16">
      <c r="C88" s="67" t="str">
        <f>IF(OR((H88=0),(ISBLANK(H88))),"",'Sample Loading Table'!A91)</f>
        <v/>
      </c>
      <c r="D88" s="67"/>
      <c r="E88" s="68" t="str">
        <f>IF(OR((H88=0),(ISBLANK(H88))),"",'Sample Loading Table'!B91)</f>
        <v/>
      </c>
      <c r="F88" s="68"/>
      <c r="G88" s="68"/>
      <c r="H88" s="69">
        <f>'Sample Loading Table'!C91</f>
        <v>0</v>
      </c>
      <c r="I88" s="69"/>
      <c r="J88" s="69"/>
      <c r="P88" s="1">
        <f t="shared" si="9"/>
        <v>77</v>
      </c>
      <c r="Q88" s="6">
        <f t="shared" ca="1" si="8"/>
        <v>30</v>
      </c>
      <c r="R88" s="6">
        <f ca="1">IF(R87=S87,OFFSET('Sample Loading Table'!$E$26,Q88,0),R87)</f>
        <v>3</v>
      </c>
      <c r="S88" s="1">
        <f ca="1">COUNTIF($Q$10:Q88,Q88)</f>
        <v>3</v>
      </c>
    </row>
    <row r="89" spans="3:19" ht="16">
      <c r="C89" s="67" t="str">
        <f>IF(OR((H89=0),(ISBLANK(H89))),"",'Sample Loading Table'!A92)</f>
        <v/>
      </c>
      <c r="D89" s="67"/>
      <c r="E89" s="68" t="str">
        <f>IF(OR((H89=0),(ISBLANK(H89))),"",'Sample Loading Table'!B92)</f>
        <v/>
      </c>
      <c r="F89" s="68"/>
      <c r="G89" s="68"/>
      <c r="H89" s="69">
        <f>'Sample Loading Table'!C92</f>
        <v>0</v>
      </c>
      <c r="I89" s="69"/>
      <c r="J89" s="69"/>
      <c r="P89" s="1">
        <f t="shared" si="9"/>
        <v>78</v>
      </c>
      <c r="Q89" s="6">
        <f t="shared" ca="1" si="8"/>
        <v>31</v>
      </c>
      <c r="R89" s="6">
        <f ca="1">IF(R88=S88,OFFSET('Sample Loading Table'!$E$26,Q89,0),R88)</f>
        <v>3</v>
      </c>
      <c r="S89" s="1">
        <f ca="1">COUNTIF($Q$10:Q89,Q89)</f>
        <v>1</v>
      </c>
    </row>
    <row r="90" spans="3:19" ht="16">
      <c r="C90" s="67" t="str">
        <f>IF(OR((H90=0),(ISBLANK(H90))),"",'Sample Loading Table'!A93)</f>
        <v/>
      </c>
      <c r="D90" s="67"/>
      <c r="E90" s="68" t="str">
        <f>IF(OR((H90=0),(ISBLANK(H90))),"",'Sample Loading Table'!B93)</f>
        <v/>
      </c>
      <c r="F90" s="68"/>
      <c r="G90" s="68"/>
      <c r="H90" s="69">
        <f>'Sample Loading Table'!C93</f>
        <v>0</v>
      </c>
      <c r="I90" s="69"/>
      <c r="J90" s="69"/>
      <c r="P90" s="1">
        <f t="shared" si="9"/>
        <v>79</v>
      </c>
      <c r="Q90" s="6">
        <f t="shared" ca="1" si="8"/>
        <v>31</v>
      </c>
      <c r="R90" s="6">
        <f ca="1">IF(R89=S89,OFFSET('Sample Loading Table'!$E$26,Q90,0),R89)</f>
        <v>3</v>
      </c>
      <c r="S90" s="1">
        <f ca="1">COUNTIF($Q$10:Q90,Q90)</f>
        <v>2</v>
      </c>
    </row>
    <row r="91" spans="3:19" ht="16">
      <c r="C91" s="67" t="str">
        <f>IF(OR((H91=0),(ISBLANK(H91))),"",'Sample Loading Table'!A94)</f>
        <v/>
      </c>
      <c r="D91" s="67"/>
      <c r="E91" s="68" t="str">
        <f>IF(OR((H91=0),(ISBLANK(H91))),"",'Sample Loading Table'!B94)</f>
        <v/>
      </c>
      <c r="F91" s="68"/>
      <c r="G91" s="68"/>
      <c r="H91" s="69">
        <f>'Sample Loading Table'!C94</f>
        <v>0</v>
      </c>
      <c r="I91" s="69"/>
      <c r="J91" s="69"/>
      <c r="P91" s="1">
        <f t="shared" si="9"/>
        <v>80</v>
      </c>
      <c r="Q91" s="6">
        <f t="shared" ca="1" si="8"/>
        <v>31</v>
      </c>
      <c r="R91" s="6">
        <f ca="1">IF(R90=S90,OFFSET('Sample Loading Table'!$E$26,Q91,0),R90)</f>
        <v>3</v>
      </c>
      <c r="S91" s="1">
        <f ca="1">COUNTIF($Q$10:Q91,Q91)</f>
        <v>3</v>
      </c>
    </row>
    <row r="92" spans="3:19" ht="16">
      <c r="C92" s="67" t="str">
        <f>IF(OR((H92=0),(ISBLANK(H92))),"",'Sample Loading Table'!A95)</f>
        <v/>
      </c>
      <c r="D92" s="67"/>
      <c r="E92" s="68" t="str">
        <f>IF(OR((H92=0),(ISBLANK(H92))),"",'Sample Loading Table'!B95)</f>
        <v/>
      </c>
      <c r="F92" s="68"/>
      <c r="G92" s="68"/>
      <c r="H92" s="69">
        <f>'Sample Loading Table'!C95</f>
        <v>0</v>
      </c>
      <c r="I92" s="69"/>
      <c r="J92" s="69"/>
      <c r="P92" s="1">
        <f t="shared" si="9"/>
        <v>81</v>
      </c>
      <c r="Q92" s="6">
        <f t="shared" ca="1" si="8"/>
        <v>32</v>
      </c>
      <c r="R92" s="6">
        <f ca="1">IF(R91=S91,OFFSET('Sample Loading Table'!$E$26,Q92,0),R91)</f>
        <v>3</v>
      </c>
      <c r="S92" s="1">
        <f ca="1">COUNTIF($Q$10:Q92,Q92)</f>
        <v>1</v>
      </c>
    </row>
    <row r="93" spans="3:19" ht="16">
      <c r="C93" s="67" t="str">
        <f>IF(OR((H93=0),(ISBLANK(H93))),"",'Sample Loading Table'!A96)</f>
        <v/>
      </c>
      <c r="D93" s="67"/>
      <c r="E93" s="68" t="str">
        <f>IF(OR((H93=0),(ISBLANK(H93))),"",'Sample Loading Table'!B96)</f>
        <v/>
      </c>
      <c r="F93" s="68"/>
      <c r="G93" s="68"/>
      <c r="H93" s="69">
        <f>'Sample Loading Table'!C96</f>
        <v>0</v>
      </c>
      <c r="I93" s="69"/>
      <c r="J93" s="69"/>
      <c r="P93" s="1">
        <f t="shared" si="9"/>
        <v>82</v>
      </c>
      <c r="Q93" s="6">
        <f t="shared" ca="1" si="8"/>
        <v>32</v>
      </c>
      <c r="R93" s="6">
        <f ca="1">IF(R92=S92,OFFSET('Sample Loading Table'!$E$26,Q93,0),R92)</f>
        <v>3</v>
      </c>
      <c r="S93" s="1">
        <f ca="1">COUNTIF($Q$10:Q93,Q93)</f>
        <v>2</v>
      </c>
    </row>
    <row r="94" spans="3:19" ht="16">
      <c r="C94" s="67" t="str">
        <f>IF(OR((H94=0),(ISBLANK(H94))),"",'Sample Loading Table'!A97)</f>
        <v/>
      </c>
      <c r="D94" s="67"/>
      <c r="E94" s="68" t="str">
        <f>IF(OR((H94=0),(ISBLANK(H94))),"",'Sample Loading Table'!B97)</f>
        <v/>
      </c>
      <c r="F94" s="68"/>
      <c r="G94" s="68"/>
      <c r="H94" s="69">
        <f>'Sample Loading Table'!C97</f>
        <v>0</v>
      </c>
      <c r="I94" s="69"/>
      <c r="J94" s="69"/>
      <c r="P94" s="1">
        <f t="shared" si="9"/>
        <v>83</v>
      </c>
      <c r="Q94" s="6">
        <f t="shared" ca="1" si="8"/>
        <v>32</v>
      </c>
      <c r="R94" s="6">
        <f ca="1">IF(R93=S93,OFFSET('Sample Loading Table'!$E$26,Q94,0),R93)</f>
        <v>3</v>
      </c>
      <c r="S94" s="1">
        <f ca="1">COUNTIF($Q$10:Q94,Q94)</f>
        <v>3</v>
      </c>
    </row>
    <row r="95" spans="3:19" ht="16">
      <c r="C95" s="67" t="str">
        <f>IF(OR((H95=0),(ISBLANK(H95))),"",'Sample Loading Table'!A98)</f>
        <v/>
      </c>
      <c r="D95" s="67"/>
      <c r="E95" s="68" t="str">
        <f>IF(OR((H95=0),(ISBLANK(H95))),"",'Sample Loading Table'!B98)</f>
        <v/>
      </c>
      <c r="F95" s="68"/>
      <c r="G95" s="68"/>
      <c r="H95" s="69">
        <f>'Sample Loading Table'!C98</f>
        <v>0</v>
      </c>
      <c r="I95" s="69"/>
      <c r="J95" s="69"/>
      <c r="P95" s="1">
        <f t="shared" si="9"/>
        <v>84</v>
      </c>
      <c r="Q95" s="6">
        <f t="shared" ca="1" si="8"/>
        <v>33</v>
      </c>
      <c r="R95" s="6">
        <f ca="1">IF(R94=S94,OFFSET('Sample Loading Table'!$E$26,Q95,0),R94)</f>
        <v>3</v>
      </c>
      <c r="S95" s="1">
        <f ca="1">COUNTIF($Q$10:Q95,Q95)</f>
        <v>1</v>
      </c>
    </row>
    <row r="96" spans="3:19" ht="16">
      <c r="C96" s="67" t="str">
        <f>IF(OR((H96=0),(ISBLANK(H96))),"",'Sample Loading Table'!A99)</f>
        <v/>
      </c>
      <c r="D96" s="67"/>
      <c r="E96" s="68" t="str">
        <f>IF(OR((H96=0),(ISBLANK(H96))),"",'Sample Loading Table'!B99)</f>
        <v/>
      </c>
      <c r="F96" s="68"/>
      <c r="G96" s="68"/>
      <c r="H96" s="69">
        <f>'Sample Loading Table'!C99</f>
        <v>0</v>
      </c>
      <c r="I96" s="69"/>
      <c r="J96" s="69"/>
      <c r="P96" s="1">
        <f t="shared" si="9"/>
        <v>85</v>
      </c>
      <c r="Q96" s="6">
        <f t="shared" ca="1" si="8"/>
        <v>33</v>
      </c>
      <c r="R96" s="6">
        <f ca="1">IF(R95=S95,OFFSET('Sample Loading Table'!$E$26,Q96,0),R95)</f>
        <v>3</v>
      </c>
      <c r="S96" s="1">
        <f ca="1">COUNTIF($Q$10:Q96,Q96)</f>
        <v>2</v>
      </c>
    </row>
    <row r="97" spans="3:19" ht="16">
      <c r="C97" s="67" t="str">
        <f>IF(OR((H97=0),(ISBLANK(H97))),"",'Sample Loading Table'!A100)</f>
        <v/>
      </c>
      <c r="D97" s="67"/>
      <c r="E97" s="68" t="str">
        <f>IF(OR((H97=0),(ISBLANK(H97))),"",'Sample Loading Table'!B100)</f>
        <v/>
      </c>
      <c r="F97" s="68"/>
      <c r="G97" s="68"/>
      <c r="H97" s="69">
        <f>'Sample Loading Table'!C100</f>
        <v>0</v>
      </c>
      <c r="I97" s="69"/>
      <c r="J97" s="69"/>
      <c r="P97" s="1">
        <f t="shared" si="9"/>
        <v>86</v>
      </c>
      <c r="Q97" s="6">
        <f t="shared" ca="1" si="8"/>
        <v>33</v>
      </c>
      <c r="R97" s="6">
        <f ca="1">IF(R96=S96,OFFSET('Sample Loading Table'!$E$26,Q97,0),R96)</f>
        <v>3</v>
      </c>
      <c r="S97" s="1">
        <f ca="1">COUNTIF($Q$10:Q97,Q97)</f>
        <v>3</v>
      </c>
    </row>
    <row r="98" spans="3:19" ht="16">
      <c r="C98" s="67" t="str">
        <f>IF(OR((H98=0),(ISBLANK(H98))),"",'Sample Loading Table'!A101)</f>
        <v/>
      </c>
      <c r="D98" s="67"/>
      <c r="E98" s="68" t="str">
        <f>IF(OR((H98=0),(ISBLANK(H98))),"",'Sample Loading Table'!B101)</f>
        <v/>
      </c>
      <c r="F98" s="68"/>
      <c r="G98" s="68"/>
      <c r="H98" s="69">
        <f>'Sample Loading Table'!C101</f>
        <v>0</v>
      </c>
      <c r="I98" s="69"/>
      <c r="J98" s="69"/>
      <c r="P98" s="1">
        <f t="shared" si="9"/>
        <v>87</v>
      </c>
      <c r="Q98" s="6">
        <f t="shared" ca="1" si="8"/>
        <v>34</v>
      </c>
      <c r="R98" s="6">
        <f ca="1">IF(R97=S97,OFFSET('Sample Loading Table'!$E$26,Q98,0),R97)</f>
        <v>4</v>
      </c>
      <c r="S98" s="1">
        <f ca="1">COUNTIF($Q$10:Q98,Q98)</f>
        <v>1</v>
      </c>
    </row>
    <row r="99" spans="3:19" ht="16">
      <c r="C99" s="67" t="str">
        <f>IF(OR((H99=0),(ISBLANK(H99))),"",'Sample Loading Table'!A102)</f>
        <v/>
      </c>
      <c r="D99" s="67"/>
      <c r="E99" s="68" t="str">
        <f>IF(OR((H99=0),(ISBLANK(H99))),"",'Sample Loading Table'!B102)</f>
        <v/>
      </c>
      <c r="F99" s="68"/>
      <c r="G99" s="68"/>
      <c r="H99" s="69">
        <f>'Sample Loading Table'!C102</f>
        <v>0</v>
      </c>
      <c r="I99" s="69"/>
      <c r="J99" s="69"/>
      <c r="P99" s="1">
        <f t="shared" si="9"/>
        <v>88</v>
      </c>
      <c r="Q99" s="6">
        <f t="shared" ca="1" si="8"/>
        <v>34</v>
      </c>
      <c r="R99" s="6">
        <f ca="1">IF(R98=S98,OFFSET('Sample Loading Table'!$E$26,Q99,0),R98)</f>
        <v>4</v>
      </c>
      <c r="S99" s="1">
        <f ca="1">COUNTIF($Q$10:Q99,Q99)</f>
        <v>2</v>
      </c>
    </row>
    <row r="100" spans="3:19" ht="16">
      <c r="C100" s="67" t="str">
        <f>IF(OR((H100=0),(ISBLANK(H100))),"",'Sample Loading Table'!A103)</f>
        <v/>
      </c>
      <c r="D100" s="67"/>
      <c r="E100" s="68" t="str">
        <f>IF(OR((H100=0),(ISBLANK(H100))),"",'Sample Loading Table'!B103)</f>
        <v/>
      </c>
      <c r="F100" s="68"/>
      <c r="G100" s="68"/>
      <c r="H100" s="69">
        <f>'Sample Loading Table'!C103</f>
        <v>0</v>
      </c>
      <c r="I100" s="69"/>
      <c r="J100" s="69"/>
      <c r="P100" s="1">
        <f t="shared" si="9"/>
        <v>89</v>
      </c>
      <c r="Q100" s="6">
        <f t="shared" ca="1" si="8"/>
        <v>34</v>
      </c>
      <c r="R100" s="6">
        <f ca="1">IF(R99=S99,OFFSET('Sample Loading Table'!$E$26,Q100,0),R99)</f>
        <v>4</v>
      </c>
      <c r="S100" s="1">
        <f ca="1">COUNTIF($Q$10:Q100,Q100)</f>
        <v>3</v>
      </c>
    </row>
    <row r="101" spans="3:19" ht="16">
      <c r="C101" s="67" t="str">
        <f>IF(OR((H101=0),(ISBLANK(H101))),"",'Sample Loading Table'!A104)</f>
        <v/>
      </c>
      <c r="D101" s="67"/>
      <c r="E101" s="68" t="str">
        <f>IF(OR((H101=0),(ISBLANK(H101))),"",'Sample Loading Table'!B104)</f>
        <v/>
      </c>
      <c r="F101" s="68"/>
      <c r="G101" s="68"/>
      <c r="H101" s="69">
        <f>'Sample Loading Table'!C104</f>
        <v>0</v>
      </c>
      <c r="I101" s="69"/>
      <c r="J101" s="69"/>
      <c r="P101" s="1">
        <f t="shared" si="9"/>
        <v>90</v>
      </c>
      <c r="Q101" s="6">
        <f t="shared" ca="1" si="8"/>
        <v>34</v>
      </c>
      <c r="R101" s="6">
        <f ca="1">IF(R100=S100,OFFSET('Sample Loading Table'!$E$26,Q101,0),R100)</f>
        <v>4</v>
      </c>
      <c r="S101" s="1">
        <f ca="1">COUNTIF($Q$10:Q101,Q101)</f>
        <v>4</v>
      </c>
    </row>
    <row r="102" spans="3:19" ht="16">
      <c r="C102" s="67" t="str">
        <f>IF(OR((H102=0),(ISBLANK(H102))),"",'Sample Loading Table'!A105)</f>
        <v/>
      </c>
      <c r="D102" s="67"/>
      <c r="E102" s="68" t="str">
        <f>IF(OR((H102=0),(ISBLANK(H102))),"",'Sample Loading Table'!B105)</f>
        <v/>
      </c>
      <c r="F102" s="68"/>
      <c r="G102" s="68"/>
      <c r="H102" s="69">
        <f>'Sample Loading Table'!C105</f>
        <v>0</v>
      </c>
      <c r="I102" s="69"/>
      <c r="J102" s="69"/>
      <c r="P102" s="1">
        <f t="shared" si="9"/>
        <v>91</v>
      </c>
      <c r="Q102" s="6">
        <f t="shared" ca="1" si="8"/>
        <v>35</v>
      </c>
      <c r="R102" s="6">
        <f ca="1">IF(R101=S101,OFFSET('Sample Loading Table'!$E$26,Q102,0),R101)</f>
        <v>3</v>
      </c>
      <c r="S102" s="1">
        <f ca="1">COUNTIF($Q$10:Q102,Q102)</f>
        <v>1</v>
      </c>
    </row>
    <row r="103" spans="3:19" ht="16">
      <c r="C103" s="67" t="str">
        <f>IF(OR((H103=0),(ISBLANK(H103))),"",'Sample Loading Table'!A106)</f>
        <v/>
      </c>
      <c r="D103" s="67"/>
      <c r="E103" s="68" t="str">
        <f>IF(OR((H103=0),(ISBLANK(H103))),"",'Sample Loading Table'!B106)</f>
        <v/>
      </c>
      <c r="F103" s="68"/>
      <c r="G103" s="68"/>
      <c r="H103" s="69">
        <f>'Sample Loading Table'!C106</f>
        <v>0</v>
      </c>
      <c r="I103" s="69"/>
      <c r="J103" s="69"/>
      <c r="P103" s="1">
        <f t="shared" si="9"/>
        <v>92</v>
      </c>
      <c r="Q103" s="6">
        <f t="shared" ca="1" si="8"/>
        <v>35</v>
      </c>
      <c r="R103" s="6">
        <f ca="1">IF(R102=S102,OFFSET('Sample Loading Table'!$E$26,Q103,0),R102)</f>
        <v>3</v>
      </c>
      <c r="S103" s="1">
        <f ca="1">COUNTIF($Q$10:Q103,Q103)</f>
        <v>2</v>
      </c>
    </row>
    <row r="104" spans="3:19" ht="16">
      <c r="C104" s="67" t="str">
        <f>IF(OR((H104=0),(ISBLANK(H104))),"",'Sample Loading Table'!A107)</f>
        <v/>
      </c>
      <c r="D104" s="67"/>
      <c r="E104" s="68" t="str">
        <f>IF(OR((H104=0),(ISBLANK(H104))),"",'Sample Loading Table'!B107)</f>
        <v/>
      </c>
      <c r="F104" s="68"/>
      <c r="G104" s="68"/>
      <c r="H104" s="69">
        <f>'Sample Loading Table'!C107</f>
        <v>0</v>
      </c>
      <c r="I104" s="69"/>
      <c r="J104" s="69"/>
      <c r="P104" s="1">
        <f t="shared" si="9"/>
        <v>93</v>
      </c>
      <c r="Q104" s="6">
        <f t="shared" ca="1" si="8"/>
        <v>35</v>
      </c>
      <c r="R104" s="6">
        <f ca="1">IF(R103=S103,OFFSET('Sample Loading Table'!$E$26,Q104,0),R103)</f>
        <v>3</v>
      </c>
      <c r="S104" s="1">
        <f ca="1">COUNTIF($Q$10:Q104,Q104)</f>
        <v>3</v>
      </c>
    </row>
    <row r="105" spans="3:19" ht="16">
      <c r="C105" s="67" t="str">
        <f>IF(OR((H105=0),(ISBLANK(H105))),"",'Sample Loading Table'!A108)</f>
        <v/>
      </c>
      <c r="D105" s="67"/>
      <c r="E105" s="68" t="str">
        <f>IF(OR((H105=0),(ISBLANK(H105))),"",'Sample Loading Table'!B108)</f>
        <v/>
      </c>
      <c r="F105" s="68"/>
      <c r="G105" s="68"/>
      <c r="H105" s="69">
        <f>'Sample Loading Table'!C108</f>
        <v>0</v>
      </c>
      <c r="I105" s="69"/>
      <c r="J105" s="69"/>
      <c r="P105" s="1">
        <f t="shared" si="9"/>
        <v>94</v>
      </c>
      <c r="Q105" s="6">
        <f t="shared" ca="1" si="8"/>
        <v>36</v>
      </c>
      <c r="R105" s="6">
        <f ca="1">IF(R104=S104,OFFSET('Sample Loading Table'!$E$26,Q105,0),R104)</f>
        <v>3</v>
      </c>
      <c r="S105" s="1">
        <f ca="1">COUNTIF($Q$10:Q105,Q105)</f>
        <v>1</v>
      </c>
    </row>
    <row r="106" spans="3:19" ht="16">
      <c r="C106" s="67" t="str">
        <f>IF(OR((H106=0),(ISBLANK(H106))),"",'Sample Loading Table'!A109)</f>
        <v/>
      </c>
      <c r="D106" s="67"/>
      <c r="E106" s="68" t="str">
        <f>IF(OR((H106=0),(ISBLANK(H106))),"",'Sample Loading Table'!B109)</f>
        <v/>
      </c>
      <c r="F106" s="68"/>
      <c r="G106" s="68"/>
      <c r="H106" s="69">
        <f>'Sample Loading Table'!C109</f>
        <v>0</v>
      </c>
      <c r="I106" s="69"/>
      <c r="J106" s="69"/>
      <c r="P106" s="1">
        <f t="shared" si="9"/>
        <v>95</v>
      </c>
      <c r="Q106" s="6">
        <f t="shared" ref="Q106" ca="1" si="10">IF(R105=S105,Q105+1,Q105)</f>
        <v>36</v>
      </c>
      <c r="R106" s="6">
        <f ca="1">IF(R105=S105,OFFSET('Sample Loading Table'!$E$26,Q106,0),R105)</f>
        <v>3</v>
      </c>
      <c r="S106" s="1">
        <f ca="1">COUNTIF($Q$10:Q106,Q106)</f>
        <v>2</v>
      </c>
    </row>
    <row r="107" spans="3:19" ht="16">
      <c r="C107" s="67" t="str">
        <f>IF(OR((H107=0),(ISBLANK(H107))),"",'Sample Loading Table'!A110)</f>
        <v/>
      </c>
      <c r="D107" s="67"/>
      <c r="E107" s="68" t="str">
        <f>IF(OR((H107=0),(ISBLANK(H107))),"",'Sample Loading Table'!B110)</f>
        <v/>
      </c>
      <c r="F107" s="68"/>
      <c r="G107" s="68"/>
      <c r="H107" s="69">
        <f>'Sample Loading Table'!C110</f>
        <v>0</v>
      </c>
      <c r="I107" s="69"/>
      <c r="J107" s="69"/>
      <c r="P107" s="1">
        <f t="shared" si="9"/>
        <v>96</v>
      </c>
      <c r="Q107" s="6">
        <f t="shared" ref="Q107" ca="1" si="11">IF(R106=S106,Q106+1,Q106)</f>
        <v>36</v>
      </c>
      <c r="R107" s="6">
        <f ca="1">IF(R106=S106,OFFSET('Sample Loading Table'!$E$26,Q107,0),R106)</f>
        <v>3</v>
      </c>
      <c r="S107" s="1">
        <f ca="1">COUNTIF($Q$10:Q107,Q107)</f>
        <v>3</v>
      </c>
    </row>
    <row r="108" spans="3:19" ht="16">
      <c r="C108" s="67" t="str">
        <f>IF(OR((H108=0),(ISBLANK(H108))),"",'Sample Loading Table'!A111)</f>
        <v/>
      </c>
      <c r="D108" s="67"/>
      <c r="E108" s="68" t="str">
        <f>IF(OR((H108=0),(ISBLANK(H108))),"",'Sample Loading Table'!B111)</f>
        <v/>
      </c>
      <c r="F108" s="68"/>
      <c r="G108" s="68"/>
      <c r="H108" s="69">
        <f>'Sample Loading Table'!C111</f>
        <v>0</v>
      </c>
      <c r="I108" s="69"/>
      <c r="J108" s="69"/>
    </row>
    <row r="109" spans="3:19" ht="16">
      <c r="C109" s="67" t="str">
        <f>IF(OR((H109=0),(ISBLANK(H109))),"",'Sample Loading Table'!A112)</f>
        <v/>
      </c>
      <c r="D109" s="67"/>
      <c r="E109" s="68" t="str">
        <f>IF(OR((H109=0),(ISBLANK(H109))),"",'Sample Loading Table'!B112)</f>
        <v/>
      </c>
      <c r="F109" s="68"/>
      <c r="G109" s="68"/>
      <c r="H109" s="69">
        <f>'Sample Loading Table'!C112</f>
        <v>0</v>
      </c>
      <c r="I109" s="69"/>
      <c r="J109" s="69"/>
    </row>
    <row r="110" spans="3:19" ht="16">
      <c r="C110" s="67" t="str">
        <f>IF(OR((H110=0),(ISBLANK(H110))),"",'Sample Loading Table'!A113)</f>
        <v/>
      </c>
      <c r="D110" s="67"/>
      <c r="E110" s="68" t="str">
        <f>IF(OR((H110=0),(ISBLANK(H110))),"",'Sample Loading Table'!B113)</f>
        <v/>
      </c>
      <c r="F110" s="68"/>
      <c r="G110" s="68"/>
      <c r="H110" s="69">
        <f>'Sample Loading Table'!C113</f>
        <v>0</v>
      </c>
      <c r="I110" s="69"/>
      <c r="J110" s="69"/>
    </row>
    <row r="111" spans="3:19" ht="16">
      <c r="C111" s="67" t="str">
        <f>IF(OR((H111=0),(ISBLANK(H111))),"",'Sample Loading Table'!A114)</f>
        <v/>
      </c>
      <c r="D111" s="67"/>
      <c r="E111" s="68" t="str">
        <f>IF(OR((H111=0),(ISBLANK(H111))),"",'Sample Loading Table'!B114)</f>
        <v/>
      </c>
      <c r="F111" s="68"/>
      <c r="G111" s="68"/>
      <c r="H111" s="69">
        <f>'Sample Loading Table'!C114</f>
        <v>0</v>
      </c>
      <c r="I111" s="69"/>
      <c r="J111" s="69"/>
    </row>
    <row r="112" spans="3:19" ht="16">
      <c r="C112" s="67" t="str">
        <f>IF(OR((H112=0),(ISBLANK(H112))),"",'Sample Loading Table'!A115)</f>
        <v/>
      </c>
      <c r="D112" s="67"/>
      <c r="E112" s="68" t="str">
        <f>IF(OR((H112=0),(ISBLANK(H112))),"",'Sample Loading Table'!B115)</f>
        <v/>
      </c>
      <c r="F112" s="68"/>
      <c r="G112" s="68"/>
      <c r="H112" s="69">
        <f>'Sample Loading Table'!C115</f>
        <v>0</v>
      </c>
      <c r="I112" s="69"/>
      <c r="J112" s="69"/>
    </row>
    <row r="113" spans="3:10" ht="16">
      <c r="C113" s="67" t="str">
        <f>IF(OR((H113=0),(ISBLANK(H113))),"",'Sample Loading Table'!A116)</f>
        <v/>
      </c>
      <c r="D113" s="67"/>
      <c r="E113" s="68" t="str">
        <f>IF(OR((H113=0),(ISBLANK(H113))),"",'Sample Loading Table'!B116)</f>
        <v/>
      </c>
      <c r="F113" s="68"/>
      <c r="G113" s="68"/>
      <c r="H113" s="69">
        <f>'Sample Loading Table'!C116</f>
        <v>0</v>
      </c>
      <c r="I113" s="69"/>
      <c r="J113" s="69"/>
    </row>
    <row r="114" spans="3:10" ht="16">
      <c r="C114" s="67" t="str">
        <f>IF(OR((H114=0),(ISBLANK(H114))),"",'Sample Loading Table'!A117)</f>
        <v/>
      </c>
      <c r="D114" s="67"/>
      <c r="E114" s="68" t="str">
        <f>IF(OR((H114=0),(ISBLANK(H114))),"",'Sample Loading Table'!B117)</f>
        <v/>
      </c>
      <c r="F114" s="68"/>
      <c r="G114" s="68"/>
      <c r="H114" s="69">
        <f>'Sample Loading Table'!C117</f>
        <v>0</v>
      </c>
      <c r="I114" s="69"/>
      <c r="J114" s="69"/>
    </row>
    <row r="115" spans="3:10" ht="16">
      <c r="C115" s="67" t="str">
        <f>IF(OR((H115=0),(ISBLANK(H115))),"",'Sample Loading Table'!A118)</f>
        <v/>
      </c>
      <c r="D115" s="67"/>
      <c r="E115" s="68" t="str">
        <f>IF(OR((H115=0),(ISBLANK(H115))),"",'Sample Loading Table'!B118)</f>
        <v/>
      </c>
      <c r="F115" s="68"/>
      <c r="G115" s="68"/>
      <c r="H115" s="69">
        <f>'Sample Loading Table'!C118</f>
        <v>0</v>
      </c>
      <c r="I115" s="69"/>
      <c r="J115" s="69"/>
    </row>
    <row r="116" spans="3:10" ht="16">
      <c r="C116" s="67" t="str">
        <f>IF(OR((H116=0),(ISBLANK(H116))),"",'Sample Loading Table'!A119)</f>
        <v/>
      </c>
      <c r="D116" s="67"/>
      <c r="E116" s="68" t="str">
        <f>IF(OR((H116=0),(ISBLANK(H116))),"",'Sample Loading Table'!B119)</f>
        <v/>
      </c>
      <c r="F116" s="68"/>
      <c r="G116" s="68"/>
      <c r="H116" s="69">
        <f>'Sample Loading Table'!C119</f>
        <v>0</v>
      </c>
      <c r="I116" s="69"/>
      <c r="J116" s="69"/>
    </row>
    <row r="117" spans="3:10" ht="16">
      <c r="C117" s="67" t="str">
        <f>IF(OR((H117=0),(ISBLANK(H117))),"",'Sample Loading Table'!A120)</f>
        <v/>
      </c>
      <c r="D117" s="67"/>
      <c r="E117" s="68" t="str">
        <f>IF(OR((H117=0),(ISBLANK(H117))),"",'Sample Loading Table'!B120)</f>
        <v/>
      </c>
      <c r="F117" s="68"/>
      <c r="G117" s="68"/>
      <c r="H117" s="69">
        <f>'Sample Loading Table'!C120</f>
        <v>0</v>
      </c>
      <c r="I117" s="69"/>
      <c r="J117" s="69"/>
    </row>
    <row r="118" spans="3:10" ht="16">
      <c r="C118" s="67" t="str">
        <f>IF(OR((H118=0),(ISBLANK(H118))),"",'Sample Loading Table'!A121)</f>
        <v/>
      </c>
      <c r="D118" s="67"/>
      <c r="E118" s="68" t="str">
        <f>IF(OR((H118=0),(ISBLANK(H118))),"",'Sample Loading Table'!B121)</f>
        <v/>
      </c>
      <c r="F118" s="68"/>
      <c r="G118" s="68"/>
      <c r="H118" s="69">
        <f>'Sample Loading Table'!C121</f>
        <v>0</v>
      </c>
      <c r="I118" s="69"/>
      <c r="J118" s="69"/>
    </row>
    <row r="119" spans="3:10" ht="16">
      <c r="C119" s="67" t="str">
        <f>IF(OR((H119=0),(ISBLANK(H119))),"",'Sample Loading Table'!A122)</f>
        <v/>
      </c>
      <c r="D119" s="67"/>
      <c r="E119" s="68" t="str">
        <f>IF(OR((H119=0),(ISBLANK(H119))),"",'Sample Loading Table'!B122)</f>
        <v/>
      </c>
      <c r="F119" s="68"/>
      <c r="G119" s="68"/>
      <c r="H119" s="69">
        <f>'Sample Loading Table'!C122</f>
        <v>0</v>
      </c>
      <c r="I119" s="69"/>
      <c r="J119" s="69"/>
    </row>
  </sheetData>
  <sheetProtection sheet="1" autoFilter="0"/>
  <mergeCells count="294">
    <mergeCell ref="C25:D25"/>
    <mergeCell ref="E25:G25"/>
    <mergeCell ref="C26:D26"/>
    <mergeCell ref="E26:G26"/>
    <mergeCell ref="C23:D23"/>
    <mergeCell ref="E23:G23"/>
    <mergeCell ref="C24:D24"/>
    <mergeCell ref="E24:G24"/>
    <mergeCell ref="C31:D31"/>
    <mergeCell ref="E31:G31"/>
    <mergeCell ref="C32:D32"/>
    <mergeCell ref="E32:G32"/>
    <mergeCell ref="C29:D29"/>
    <mergeCell ref="E29:G29"/>
    <mergeCell ref="C30:D30"/>
    <mergeCell ref="E30:G30"/>
    <mergeCell ref="C27:D27"/>
    <mergeCell ref="E27:G27"/>
    <mergeCell ref="C28:D28"/>
    <mergeCell ref="E28:G28"/>
    <mergeCell ref="C35:D35"/>
    <mergeCell ref="E35:G35"/>
    <mergeCell ref="C36:D36"/>
    <mergeCell ref="E36:G36"/>
    <mergeCell ref="H36:J36"/>
    <mergeCell ref="C33:D33"/>
    <mergeCell ref="E33:G33"/>
    <mergeCell ref="C34:D34"/>
    <mergeCell ref="E34:G34"/>
    <mergeCell ref="C39:D39"/>
    <mergeCell ref="E39:G39"/>
    <mergeCell ref="C40:D40"/>
    <mergeCell ref="E40:G40"/>
    <mergeCell ref="H39:J39"/>
    <mergeCell ref="H40:J40"/>
    <mergeCell ref="C37:D37"/>
    <mergeCell ref="E37:G37"/>
    <mergeCell ref="C38:D38"/>
    <mergeCell ref="E38:G38"/>
    <mergeCell ref="H37:J37"/>
    <mergeCell ref="H38:J38"/>
    <mergeCell ref="C43:D43"/>
    <mergeCell ref="E43:G43"/>
    <mergeCell ref="C44:D44"/>
    <mergeCell ref="E44:G44"/>
    <mergeCell ref="H43:J43"/>
    <mergeCell ref="H44:J44"/>
    <mergeCell ref="C41:D41"/>
    <mergeCell ref="E41:G41"/>
    <mergeCell ref="C42:D42"/>
    <mergeCell ref="E42:G42"/>
    <mergeCell ref="H41:J41"/>
    <mergeCell ref="H42:J42"/>
    <mergeCell ref="C47:D47"/>
    <mergeCell ref="E47:G47"/>
    <mergeCell ref="C48:D48"/>
    <mergeCell ref="E48:G48"/>
    <mergeCell ref="H47:J47"/>
    <mergeCell ref="H48:J48"/>
    <mergeCell ref="C45:D45"/>
    <mergeCell ref="E45:G45"/>
    <mergeCell ref="C46:D46"/>
    <mergeCell ref="E46:G46"/>
    <mergeCell ref="H45:J45"/>
    <mergeCell ref="H46:J46"/>
    <mergeCell ref="C51:D51"/>
    <mergeCell ref="E51:G51"/>
    <mergeCell ref="C52:D52"/>
    <mergeCell ref="E52:G52"/>
    <mergeCell ref="H51:J51"/>
    <mergeCell ref="H52:J52"/>
    <mergeCell ref="C49:D49"/>
    <mergeCell ref="E49:G49"/>
    <mergeCell ref="C50:D50"/>
    <mergeCell ref="E50:G50"/>
    <mergeCell ref="H49:J49"/>
    <mergeCell ref="H50:J50"/>
    <mergeCell ref="C55:D55"/>
    <mergeCell ref="E55:G55"/>
    <mergeCell ref="C56:D56"/>
    <mergeCell ref="E56:G56"/>
    <mergeCell ref="H55:J55"/>
    <mergeCell ref="H56:J56"/>
    <mergeCell ref="C53:D53"/>
    <mergeCell ref="E53:G53"/>
    <mergeCell ref="C54:D54"/>
    <mergeCell ref="E54:G54"/>
    <mergeCell ref="H53:J53"/>
    <mergeCell ref="H54:J54"/>
    <mergeCell ref="C59:D59"/>
    <mergeCell ref="E59:G59"/>
    <mergeCell ref="C60:D60"/>
    <mergeCell ref="E60:G60"/>
    <mergeCell ref="H59:J59"/>
    <mergeCell ref="H60:J60"/>
    <mergeCell ref="C57:D57"/>
    <mergeCell ref="E57:G57"/>
    <mergeCell ref="C58:D58"/>
    <mergeCell ref="E58:G58"/>
    <mergeCell ref="H57:J57"/>
    <mergeCell ref="H58:J58"/>
    <mergeCell ref="C63:D63"/>
    <mergeCell ref="E63:G63"/>
    <mergeCell ref="C64:D64"/>
    <mergeCell ref="E64:G64"/>
    <mergeCell ref="H63:J63"/>
    <mergeCell ref="H64:J64"/>
    <mergeCell ref="C61:D61"/>
    <mergeCell ref="E61:G61"/>
    <mergeCell ref="C62:D62"/>
    <mergeCell ref="E62:G62"/>
    <mergeCell ref="H61:J61"/>
    <mergeCell ref="H62:J62"/>
    <mergeCell ref="H70:J70"/>
    <mergeCell ref="C67:D67"/>
    <mergeCell ref="E67:G67"/>
    <mergeCell ref="C68:D68"/>
    <mergeCell ref="E68:G68"/>
    <mergeCell ref="H67:J67"/>
    <mergeCell ref="H68:J68"/>
    <mergeCell ref="C65:D65"/>
    <mergeCell ref="E65:G65"/>
    <mergeCell ref="C66:D66"/>
    <mergeCell ref="E66:G66"/>
    <mergeCell ref="H65:J65"/>
    <mergeCell ref="H66:J66"/>
    <mergeCell ref="H71:J71"/>
    <mergeCell ref="C19:N19"/>
    <mergeCell ref="C20:N20"/>
    <mergeCell ref="C21:N21"/>
    <mergeCell ref="C71:D71"/>
    <mergeCell ref="E71:G71"/>
    <mergeCell ref="H23:J23"/>
    <mergeCell ref="H24:J24"/>
    <mergeCell ref="H25:J25"/>
    <mergeCell ref="H26:J26"/>
    <mergeCell ref="H27:J27"/>
    <mergeCell ref="H28:J28"/>
    <mergeCell ref="H29:J29"/>
    <mergeCell ref="H30:J30"/>
    <mergeCell ref="H31:J31"/>
    <mergeCell ref="H32:J32"/>
    <mergeCell ref="H33:J33"/>
    <mergeCell ref="H34:J34"/>
    <mergeCell ref="H35:J35"/>
    <mergeCell ref="C69:D69"/>
    <mergeCell ref="E69:G69"/>
    <mergeCell ref="C70:D70"/>
    <mergeCell ref="E70:G70"/>
    <mergeCell ref="H69:J69"/>
    <mergeCell ref="C72:D72"/>
    <mergeCell ref="E72:G72"/>
    <mergeCell ref="H72:J72"/>
    <mergeCell ref="C73:D73"/>
    <mergeCell ref="E73:G73"/>
    <mergeCell ref="H73:J73"/>
    <mergeCell ref="C74:D74"/>
    <mergeCell ref="E74:G74"/>
    <mergeCell ref="H74:J74"/>
    <mergeCell ref="C75:D75"/>
    <mergeCell ref="E75:G75"/>
    <mergeCell ref="H75:J75"/>
    <mergeCell ref="C76:D76"/>
    <mergeCell ref="E76:G76"/>
    <mergeCell ref="H76:J76"/>
    <mergeCell ref="C77:D77"/>
    <mergeCell ref="E77:G77"/>
    <mergeCell ref="H77:J77"/>
    <mergeCell ref="C78:D78"/>
    <mergeCell ref="E78:G78"/>
    <mergeCell ref="H78:J78"/>
    <mergeCell ref="C79:D79"/>
    <mergeCell ref="E79:G79"/>
    <mergeCell ref="H79:J79"/>
    <mergeCell ref="C80:D80"/>
    <mergeCell ref="E80:G80"/>
    <mergeCell ref="H80:J80"/>
    <mergeCell ref="C81:D81"/>
    <mergeCell ref="E81:G81"/>
    <mergeCell ref="H81:J81"/>
    <mergeCell ref="C82:D82"/>
    <mergeCell ref="E82:G82"/>
    <mergeCell ref="H82:J82"/>
    <mergeCell ref="C83:D83"/>
    <mergeCell ref="E83:G83"/>
    <mergeCell ref="H83:J83"/>
    <mergeCell ref="C84:D84"/>
    <mergeCell ref="E84:G84"/>
    <mergeCell ref="H84:J84"/>
    <mergeCell ref="C85:D85"/>
    <mergeCell ref="E85:G85"/>
    <mergeCell ref="H85:J85"/>
    <mergeCell ref="C86:D86"/>
    <mergeCell ref="E86:G86"/>
    <mergeCell ref="H86:J86"/>
    <mergeCell ref="C87:D87"/>
    <mergeCell ref="E87:G87"/>
    <mergeCell ref="H87:J87"/>
    <mergeCell ref="C88:D88"/>
    <mergeCell ref="E88:G88"/>
    <mergeCell ref="H88:J88"/>
    <mergeCell ref="C89:D89"/>
    <mergeCell ref="E89:G89"/>
    <mergeCell ref="H89:J89"/>
    <mergeCell ref="C90:D90"/>
    <mergeCell ref="E90:G90"/>
    <mergeCell ref="H90:J90"/>
    <mergeCell ref="C91:D91"/>
    <mergeCell ref="E91:G91"/>
    <mergeCell ref="H91:J91"/>
    <mergeCell ref="C92:D92"/>
    <mergeCell ref="E92:G92"/>
    <mergeCell ref="H92:J92"/>
    <mergeCell ref="C93:D93"/>
    <mergeCell ref="E93:G93"/>
    <mergeCell ref="H93:J93"/>
    <mergeCell ref="C94:D94"/>
    <mergeCell ref="E94:G94"/>
    <mergeCell ref="H94:J94"/>
    <mergeCell ref="C95:D95"/>
    <mergeCell ref="E95:G95"/>
    <mergeCell ref="H95:J95"/>
    <mergeCell ref="C96:D96"/>
    <mergeCell ref="E96:G96"/>
    <mergeCell ref="H96:J96"/>
    <mergeCell ref="C97:D97"/>
    <mergeCell ref="E97:G97"/>
    <mergeCell ref="H97:J97"/>
    <mergeCell ref="C98:D98"/>
    <mergeCell ref="E98:G98"/>
    <mergeCell ref="H98:J98"/>
    <mergeCell ref="C99:D99"/>
    <mergeCell ref="E99:G99"/>
    <mergeCell ref="H99:J99"/>
    <mergeCell ref="C100:D100"/>
    <mergeCell ref="E100:G100"/>
    <mergeCell ref="H100:J100"/>
    <mergeCell ref="C101:D101"/>
    <mergeCell ref="E101:G101"/>
    <mergeCell ref="H101:J101"/>
    <mergeCell ref="C102:D102"/>
    <mergeCell ref="E102:G102"/>
    <mergeCell ref="H102:J102"/>
    <mergeCell ref="C103:D103"/>
    <mergeCell ref="E103:G103"/>
    <mergeCell ref="H103:J103"/>
    <mergeCell ref="C104:D104"/>
    <mergeCell ref="E104:G104"/>
    <mergeCell ref="H104:J104"/>
    <mergeCell ref="C105:D105"/>
    <mergeCell ref="E105:G105"/>
    <mergeCell ref="H105:J105"/>
    <mergeCell ref="C106:D106"/>
    <mergeCell ref="E106:G106"/>
    <mergeCell ref="H106:J106"/>
    <mergeCell ref="C107:D107"/>
    <mergeCell ref="E107:G107"/>
    <mergeCell ref="H107:J107"/>
    <mergeCell ref="C108:D108"/>
    <mergeCell ref="E108:G108"/>
    <mergeCell ref="H108:J108"/>
    <mergeCell ref="C109:D109"/>
    <mergeCell ref="E109:G109"/>
    <mergeCell ref="H109:J109"/>
    <mergeCell ref="C116:D116"/>
    <mergeCell ref="E116:G116"/>
    <mergeCell ref="H116:J116"/>
    <mergeCell ref="C110:D110"/>
    <mergeCell ref="E110:G110"/>
    <mergeCell ref="H110:J110"/>
    <mergeCell ref="C111:D111"/>
    <mergeCell ref="E111:G111"/>
    <mergeCell ref="H111:J111"/>
    <mergeCell ref="C112:D112"/>
    <mergeCell ref="E112:G112"/>
    <mergeCell ref="H112:J112"/>
    <mergeCell ref="C113:D113"/>
    <mergeCell ref="E113:G113"/>
    <mergeCell ref="H113:J113"/>
    <mergeCell ref="C114:D114"/>
    <mergeCell ref="E114:G114"/>
    <mergeCell ref="H114:J114"/>
    <mergeCell ref="C119:D119"/>
    <mergeCell ref="E119:G119"/>
    <mergeCell ref="H119:J119"/>
    <mergeCell ref="C115:D115"/>
    <mergeCell ref="E115:G115"/>
    <mergeCell ref="H115:J115"/>
    <mergeCell ref="C117:D117"/>
    <mergeCell ref="E117:G117"/>
    <mergeCell ref="H117:J117"/>
    <mergeCell ref="C118:D118"/>
    <mergeCell ref="E118:G118"/>
    <mergeCell ref="H118:J118"/>
  </mergeCells>
  <conditionalFormatting sqref="C10:N17">
    <cfRule type="colorScale" priority="91">
      <colorScale>
        <cfvo type="min"/>
        <cfvo type="percent" val="50"/>
        <cfvo type="max"/>
        <color rgb="FFAB80C4"/>
        <color theme="0"/>
        <color rgb="FFDB80BE"/>
      </colorScale>
    </cfRule>
  </conditionalFormatting>
  <conditionalFormatting sqref="P9:S58 Q59:S107 P59:P108">
    <cfRule type="notContainsBlanks" dxfId="43" priority="103">
      <formula>LEN(TRIM(P9))&gt;0</formula>
    </cfRule>
  </conditionalFormatting>
  <conditionalFormatting sqref="H24:H68">
    <cfRule type="cellIs" dxfId="42" priority="100" operator="equal">
      <formula>0</formula>
    </cfRule>
  </conditionalFormatting>
  <conditionalFormatting sqref="E24:G68">
    <cfRule type="cellIs" dxfId="41" priority="99" operator="equal">
      <formula>0</formula>
    </cfRule>
  </conditionalFormatting>
  <conditionalFormatting sqref="H24:J68">
    <cfRule type="cellIs" dxfId="40" priority="98" operator="greaterThan">
      <formula>0</formula>
    </cfRule>
  </conditionalFormatting>
  <conditionalFormatting sqref="E24:G68">
    <cfRule type="notContainsBlanks" dxfId="39" priority="108">
      <formula>LEN(TRIM(E24))&gt;0</formula>
    </cfRule>
  </conditionalFormatting>
  <conditionalFormatting sqref="C19:N21">
    <cfRule type="cellIs" dxfId="38" priority="95" operator="equal">
      <formula>0</formula>
    </cfRule>
    <cfRule type="expression" dxfId="37" priority="109" stopIfTrue="1">
      <formula>$C$21="Please address the warning message on the Sample Loading Table to avoid experimental error"</formula>
    </cfRule>
  </conditionalFormatting>
  <conditionalFormatting sqref="C10:N10">
    <cfRule type="expression" dxfId="36" priority="89">
      <formula>COUNTIF($C$10:D$10,D$10)=1</formula>
    </cfRule>
  </conditionalFormatting>
  <conditionalFormatting sqref="C11:N11">
    <cfRule type="expression" dxfId="35" priority="86">
      <formula>COUNTIF($C$11:D$11,D$11)&lt;&gt;1</formula>
    </cfRule>
    <cfRule type="expression" dxfId="34" priority="88">
      <formula>COUNTIF($C$11:D$11,D$11)=1</formula>
    </cfRule>
  </conditionalFormatting>
  <conditionalFormatting sqref="C12:N12">
    <cfRule type="expression" dxfId="33" priority="85">
      <formula>COUNTIF($C$12:D$12,D$12)&lt;&gt;1</formula>
    </cfRule>
    <cfRule type="expression" dxfId="32" priority="87">
      <formula>COUNTIF($C$12:D$12,D$12)=1</formula>
    </cfRule>
  </conditionalFormatting>
  <conditionalFormatting sqref="C13:N13">
    <cfRule type="expression" dxfId="31" priority="83">
      <formula>COUNTIF($C$13:D$13,D$13)&lt;&gt;1</formula>
    </cfRule>
    <cfRule type="expression" dxfId="30" priority="84">
      <formula>COUNTIF($C$13:D$13,D$13)=1</formula>
    </cfRule>
  </conditionalFormatting>
  <conditionalFormatting sqref="H69">
    <cfRule type="cellIs" dxfId="29" priority="80" operator="equal">
      <formula>0</formula>
    </cfRule>
  </conditionalFormatting>
  <conditionalFormatting sqref="E69:G69">
    <cfRule type="cellIs" dxfId="28" priority="79" operator="equal">
      <formula>0</formula>
    </cfRule>
  </conditionalFormatting>
  <conditionalFormatting sqref="H69:J69">
    <cfRule type="cellIs" dxfId="27" priority="78" operator="greaterThan">
      <formula>0</formula>
    </cfRule>
  </conditionalFormatting>
  <conditionalFormatting sqref="E69:G69">
    <cfRule type="notContainsBlanks" dxfId="26" priority="81">
      <formula>LEN(TRIM(E69))&gt;0</formula>
    </cfRule>
  </conditionalFormatting>
  <conditionalFormatting sqref="H70">
    <cfRule type="cellIs" dxfId="25" priority="74" operator="equal">
      <formula>0</formula>
    </cfRule>
  </conditionalFormatting>
  <conditionalFormatting sqref="E70:G70">
    <cfRule type="cellIs" dxfId="24" priority="73" operator="equal">
      <formula>0</formula>
    </cfRule>
  </conditionalFormatting>
  <conditionalFormatting sqref="H70:J70">
    <cfRule type="cellIs" dxfId="23" priority="72" operator="greaterThan">
      <formula>0</formula>
    </cfRule>
  </conditionalFormatting>
  <conditionalFormatting sqref="E70:G70">
    <cfRule type="notContainsBlanks" dxfId="22" priority="75">
      <formula>LEN(TRIM(E70))&gt;0</formula>
    </cfRule>
  </conditionalFormatting>
  <conditionalFormatting sqref="H71">
    <cfRule type="cellIs" dxfId="21" priority="68" operator="equal">
      <formula>0</formula>
    </cfRule>
  </conditionalFormatting>
  <conditionalFormatting sqref="E71:G71">
    <cfRule type="cellIs" dxfId="20" priority="67" operator="equal">
      <formula>0</formula>
    </cfRule>
  </conditionalFormatting>
  <conditionalFormatting sqref="H71:J71">
    <cfRule type="cellIs" dxfId="19" priority="66" operator="greaterThan">
      <formula>0</formula>
    </cfRule>
  </conditionalFormatting>
  <conditionalFormatting sqref="E71:G71">
    <cfRule type="notContainsBlanks" dxfId="18" priority="69">
      <formula>LEN(TRIM(E71))&gt;0</formula>
    </cfRule>
  </conditionalFormatting>
  <conditionalFormatting sqref="H72:H118">
    <cfRule type="cellIs" dxfId="17" priority="20" operator="equal">
      <formula>0</formula>
    </cfRule>
  </conditionalFormatting>
  <conditionalFormatting sqref="E72:G118">
    <cfRule type="cellIs" dxfId="16" priority="19" operator="equal">
      <formula>0</formula>
    </cfRule>
  </conditionalFormatting>
  <conditionalFormatting sqref="H72:J118">
    <cfRule type="cellIs" dxfId="15" priority="18" operator="greaterThan">
      <formula>0</formula>
    </cfRule>
  </conditionalFormatting>
  <conditionalFormatting sqref="E72:G118">
    <cfRule type="notContainsBlanks" dxfId="14" priority="21">
      <formula>LEN(TRIM(E72))&gt;0</formula>
    </cfRule>
  </conditionalFormatting>
  <conditionalFormatting sqref="C24:D118">
    <cfRule type="colorScale" priority="82">
      <colorScale>
        <cfvo type="min"/>
        <cfvo type="percentile" val="50"/>
        <cfvo type="max"/>
        <color rgb="FFAB80C4"/>
        <color theme="0"/>
        <color rgb="FFDB80BE"/>
      </colorScale>
    </cfRule>
    <cfRule type="notContainsBlanks" dxfId="13" priority="96">
      <formula>LEN(TRIM(C24))&gt;0</formula>
    </cfRule>
  </conditionalFormatting>
  <conditionalFormatting sqref="H119">
    <cfRule type="cellIs" dxfId="12" priority="12" operator="equal">
      <formula>0</formula>
    </cfRule>
  </conditionalFormatting>
  <conditionalFormatting sqref="E119:G119">
    <cfRule type="cellIs" dxfId="11" priority="11" operator="equal">
      <formula>0</formula>
    </cfRule>
  </conditionalFormatting>
  <conditionalFormatting sqref="H119:J119">
    <cfRule type="cellIs" dxfId="10" priority="10" operator="greaterThan">
      <formula>0</formula>
    </cfRule>
  </conditionalFormatting>
  <conditionalFormatting sqref="E119:G119">
    <cfRule type="notContainsBlanks" dxfId="9" priority="13">
      <formula>LEN(TRIM(E119))&gt;0</formula>
    </cfRule>
  </conditionalFormatting>
  <conditionalFormatting sqref="C119:D119">
    <cfRule type="colorScale" priority="14">
      <colorScale>
        <cfvo type="min"/>
        <cfvo type="percentile" val="50"/>
        <cfvo type="max"/>
        <color rgb="FFAB80C4"/>
        <color theme="0"/>
        <color rgb="FFDB80BE"/>
      </colorScale>
    </cfRule>
  </conditionalFormatting>
  <conditionalFormatting sqref="C14:N14">
    <cfRule type="expression" dxfId="8" priority="9">
      <formula>COUNTIF($C$14:D$14,D$14)=1</formula>
    </cfRule>
    <cfRule type="expression" dxfId="7" priority="8">
      <formula>COUNTIF($C$14:D$14,D$14)&lt;&gt;1</formula>
    </cfRule>
  </conditionalFormatting>
  <conditionalFormatting sqref="C15:N15">
    <cfRule type="expression" dxfId="6" priority="7">
      <formula>COUNTIF($C$15:D$15,D$15)=1</formula>
    </cfRule>
    <cfRule type="expression" dxfId="5" priority="6">
      <formula>COUNTIF($C$15:D$15,D$15)&lt;&gt;1</formula>
    </cfRule>
  </conditionalFormatting>
  <conditionalFormatting sqref="C16:N16">
    <cfRule type="expression" dxfId="4" priority="5">
      <formula>COUNTIF($C$16:D$16,D$16)=1</formula>
    </cfRule>
    <cfRule type="expression" dxfId="3" priority="4">
      <formula>COUNTIF($C$16:D$16,D$16)&lt;&gt;1</formula>
    </cfRule>
  </conditionalFormatting>
  <conditionalFormatting sqref="C17:N17">
    <cfRule type="expression" dxfId="2" priority="3">
      <formula>COUNTIF($C$17:D$17,D$17)=1</formula>
    </cfRule>
    <cfRule type="expression" dxfId="1" priority="2">
      <formula>COUNTIF($C$17:D$17,D$17)&lt;&gt;1</formula>
    </cfRule>
  </conditionalFormatting>
  <conditionalFormatting sqref="E23:G23">
    <cfRule type="cellIs" dxfId="0" priority="1" operator="equal">
      <formula>0</formula>
    </cfRule>
  </conditionalFormatting>
  <pageMargins left="0.7" right="1.25063131313131" top="0.75" bottom="0.75" header="0.3" footer="0.3"/>
  <pageSetup scale="27" orientation="landscape" r:id="rId1"/>
  <headerFooter>
    <oddHeader>&amp;L&amp;"M PLUS 2,Regular"&amp;K525252Parse Biosciences
700 Dexter Ave
Suite 600
Seattle, WA 98109&amp;C&amp;G&amp;R&amp;"M PLUS 2,Regular"&amp;12&amp;K525252Support Suite:  support.parsebiosciences.com
Email: support@parsebiosciences.com
WT Mega - Version 2.0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CC41-F0BA-482F-8B64-D9B74A51CC1E}">
  <sheetPr codeName="Sheet6"/>
  <dimension ref="A1:H96"/>
  <sheetViews>
    <sheetView workbookViewId="0">
      <selection activeCell="G97" sqref="G97"/>
    </sheetView>
  </sheetViews>
  <sheetFormatPr baseColWidth="10" defaultColWidth="8.83203125" defaultRowHeight="15"/>
  <sheetData>
    <row r="1" spans="1:8">
      <c r="A1">
        <f>VLOOKUP(ReferenceTable!C23,ReferenceTable!C1:D96,2,FALSE)</f>
        <v>4</v>
      </c>
      <c r="C1">
        <v>1</v>
      </c>
      <c r="G1">
        <f>'Sample Loading Table'!C23</f>
        <v>36</v>
      </c>
      <c r="H1">
        <f>VLOOKUP(G1,ReferenceTable!C1:D96,2,FALSE)</f>
        <v>24</v>
      </c>
    </row>
    <row r="2" spans="1:8">
      <c r="C2">
        <f>C1+1</f>
        <v>2</v>
      </c>
      <c r="D2">
        <v>2</v>
      </c>
      <c r="G2">
        <v>5</v>
      </c>
    </row>
    <row r="3" spans="1:8">
      <c r="C3">
        <f t="shared" ref="C3:C66" si="0">C2+1</f>
        <v>3</v>
      </c>
      <c r="D3">
        <v>3</v>
      </c>
      <c r="E3" s="7"/>
      <c r="G3">
        <v>6</v>
      </c>
    </row>
    <row r="4" spans="1:8">
      <c r="C4">
        <f t="shared" si="0"/>
        <v>4</v>
      </c>
      <c r="D4">
        <v>4</v>
      </c>
      <c r="E4" s="7"/>
    </row>
    <row r="5" spans="1:8">
      <c r="C5">
        <f t="shared" si="0"/>
        <v>5</v>
      </c>
      <c r="D5">
        <v>1</v>
      </c>
      <c r="E5" s="7"/>
    </row>
    <row r="6" spans="1:8">
      <c r="C6">
        <f t="shared" si="0"/>
        <v>6</v>
      </c>
      <c r="D6">
        <v>1</v>
      </c>
      <c r="E6" s="7"/>
    </row>
    <row r="7" spans="1:8">
      <c r="C7">
        <f t="shared" si="0"/>
        <v>7</v>
      </c>
      <c r="D7">
        <v>5</v>
      </c>
      <c r="E7" s="7"/>
    </row>
    <row r="8" spans="1:8">
      <c r="C8">
        <f t="shared" si="0"/>
        <v>8</v>
      </c>
      <c r="D8">
        <v>6</v>
      </c>
      <c r="E8" s="7"/>
    </row>
    <row r="9" spans="1:8">
      <c r="C9">
        <f t="shared" si="0"/>
        <v>9</v>
      </c>
      <c r="D9">
        <v>6</v>
      </c>
      <c r="E9" s="7"/>
    </row>
    <row r="10" spans="1:8">
      <c r="C10">
        <f t="shared" si="0"/>
        <v>10</v>
      </c>
      <c r="D10">
        <v>6</v>
      </c>
      <c r="E10" s="7"/>
    </row>
    <row r="11" spans="1:8">
      <c r="C11">
        <f t="shared" si="0"/>
        <v>11</v>
      </c>
      <c r="D11">
        <v>8</v>
      </c>
      <c r="E11" s="7"/>
    </row>
    <row r="12" spans="1:8">
      <c r="C12">
        <f t="shared" si="0"/>
        <v>12</v>
      </c>
      <c r="D12">
        <v>12</v>
      </c>
      <c r="E12" s="7"/>
    </row>
    <row r="13" spans="1:8">
      <c r="C13">
        <f t="shared" si="0"/>
        <v>13</v>
      </c>
      <c r="D13">
        <v>5</v>
      </c>
      <c r="E13" s="7"/>
    </row>
    <row r="14" spans="1:8">
      <c r="C14">
        <f t="shared" si="0"/>
        <v>14</v>
      </c>
      <c r="D14">
        <v>12</v>
      </c>
      <c r="E14" s="7"/>
    </row>
    <row r="15" spans="1:8">
      <c r="C15">
        <f t="shared" si="0"/>
        <v>15</v>
      </c>
      <c r="D15">
        <v>6</v>
      </c>
      <c r="E15" s="7"/>
    </row>
    <row r="16" spans="1:8">
      <c r="C16">
        <f t="shared" si="0"/>
        <v>16</v>
      </c>
      <c r="D16">
        <v>4</v>
      </c>
      <c r="E16" s="7"/>
    </row>
    <row r="17" spans="3:5">
      <c r="C17">
        <f t="shared" si="0"/>
        <v>17</v>
      </c>
      <c r="D17">
        <v>11</v>
      </c>
      <c r="E17" s="7"/>
    </row>
    <row r="18" spans="3:5">
      <c r="C18">
        <f t="shared" si="0"/>
        <v>18</v>
      </c>
      <c r="D18">
        <v>6</v>
      </c>
      <c r="E18" s="7"/>
    </row>
    <row r="19" spans="3:5">
      <c r="C19">
        <f t="shared" si="0"/>
        <v>19</v>
      </c>
      <c r="D19">
        <v>1</v>
      </c>
    </row>
    <row r="20" spans="3:5">
      <c r="C20">
        <f t="shared" si="0"/>
        <v>20</v>
      </c>
      <c r="D20">
        <v>16</v>
      </c>
    </row>
    <row r="21" spans="3:5">
      <c r="C21">
        <f t="shared" si="0"/>
        <v>21</v>
      </c>
      <c r="D21">
        <v>12</v>
      </c>
    </row>
    <row r="22" spans="3:5">
      <c r="C22">
        <f t="shared" si="0"/>
        <v>22</v>
      </c>
      <c r="D22">
        <v>8</v>
      </c>
    </row>
    <row r="23" spans="3:5">
      <c r="C23">
        <f t="shared" si="0"/>
        <v>23</v>
      </c>
      <c r="D23">
        <v>4</v>
      </c>
    </row>
    <row r="24" spans="3:5">
      <c r="C24">
        <f t="shared" si="0"/>
        <v>24</v>
      </c>
      <c r="D24">
        <v>1</v>
      </c>
    </row>
    <row r="25" spans="3:5">
      <c r="C25">
        <f t="shared" si="0"/>
        <v>25</v>
      </c>
      <c r="D25">
        <v>21</v>
      </c>
      <c r="E25" s="7"/>
    </row>
    <row r="26" spans="3:5">
      <c r="C26">
        <f t="shared" si="0"/>
        <v>26</v>
      </c>
      <c r="D26">
        <v>18</v>
      </c>
      <c r="E26" s="7"/>
    </row>
    <row r="27" spans="3:5">
      <c r="C27">
        <f t="shared" si="0"/>
        <v>27</v>
      </c>
      <c r="D27">
        <v>15</v>
      </c>
      <c r="E27" s="7"/>
    </row>
    <row r="28" spans="3:5">
      <c r="C28">
        <f t="shared" si="0"/>
        <v>28</v>
      </c>
      <c r="D28">
        <v>12</v>
      </c>
      <c r="E28" s="7"/>
    </row>
    <row r="29" spans="3:5">
      <c r="C29">
        <f t="shared" si="0"/>
        <v>29</v>
      </c>
      <c r="D29">
        <v>9</v>
      </c>
      <c r="E29" s="7"/>
    </row>
    <row r="30" spans="3:5">
      <c r="C30">
        <f t="shared" si="0"/>
        <v>30</v>
      </c>
      <c r="D30">
        <v>6</v>
      </c>
      <c r="E30" s="7"/>
    </row>
    <row r="31" spans="3:5">
      <c r="C31">
        <f t="shared" si="0"/>
        <v>31</v>
      </c>
      <c r="D31">
        <v>3</v>
      </c>
      <c r="E31" s="7"/>
    </row>
    <row r="32" spans="3:5">
      <c r="C32">
        <f t="shared" si="0"/>
        <v>32</v>
      </c>
      <c r="D32">
        <v>1</v>
      </c>
      <c r="E32" s="7"/>
    </row>
    <row r="33" spans="3:5">
      <c r="C33">
        <f t="shared" si="0"/>
        <v>33</v>
      </c>
      <c r="D33">
        <v>30</v>
      </c>
      <c r="E33" s="7"/>
    </row>
    <row r="34" spans="3:5">
      <c r="C34">
        <f t="shared" si="0"/>
        <v>34</v>
      </c>
      <c r="D34">
        <v>28</v>
      </c>
      <c r="E34" s="7"/>
    </row>
    <row r="35" spans="3:5">
      <c r="C35">
        <f t="shared" si="0"/>
        <v>35</v>
      </c>
      <c r="D35">
        <v>26</v>
      </c>
      <c r="E35" s="7"/>
    </row>
    <row r="36" spans="3:5">
      <c r="C36">
        <f t="shared" si="0"/>
        <v>36</v>
      </c>
      <c r="D36">
        <v>24</v>
      </c>
      <c r="E36" s="7"/>
    </row>
    <row r="37" spans="3:5">
      <c r="C37">
        <f t="shared" si="0"/>
        <v>37</v>
      </c>
      <c r="D37">
        <v>22</v>
      </c>
      <c r="E37" s="7"/>
    </row>
    <row r="38" spans="3:5">
      <c r="C38">
        <f t="shared" si="0"/>
        <v>38</v>
      </c>
      <c r="D38">
        <v>20</v>
      </c>
      <c r="E38" s="7"/>
    </row>
    <row r="39" spans="3:5">
      <c r="C39">
        <f t="shared" si="0"/>
        <v>39</v>
      </c>
      <c r="D39">
        <v>18</v>
      </c>
      <c r="E39" s="7"/>
    </row>
    <row r="40" spans="3:5">
      <c r="C40">
        <f t="shared" si="0"/>
        <v>40</v>
      </c>
      <c r="D40">
        <v>16</v>
      </c>
      <c r="E40" s="7"/>
    </row>
    <row r="41" spans="3:5">
      <c r="C41">
        <f t="shared" si="0"/>
        <v>41</v>
      </c>
      <c r="D41">
        <v>14</v>
      </c>
      <c r="E41" s="7"/>
    </row>
    <row r="42" spans="3:5">
      <c r="C42">
        <f t="shared" si="0"/>
        <v>42</v>
      </c>
      <c r="D42">
        <v>12</v>
      </c>
      <c r="E42" s="7"/>
    </row>
    <row r="43" spans="3:5">
      <c r="C43">
        <f t="shared" si="0"/>
        <v>43</v>
      </c>
      <c r="D43">
        <v>10</v>
      </c>
      <c r="E43" s="7"/>
    </row>
    <row r="44" spans="3:5">
      <c r="C44">
        <f t="shared" si="0"/>
        <v>44</v>
      </c>
      <c r="D44">
        <v>8</v>
      </c>
      <c r="E44" s="7"/>
    </row>
    <row r="45" spans="3:5">
      <c r="C45">
        <f t="shared" si="0"/>
        <v>45</v>
      </c>
      <c r="D45">
        <v>6</v>
      </c>
      <c r="E45" s="7"/>
    </row>
    <row r="46" spans="3:5">
      <c r="C46">
        <f t="shared" si="0"/>
        <v>46</v>
      </c>
      <c r="D46">
        <v>4</v>
      </c>
      <c r="E46" s="7"/>
    </row>
    <row r="47" spans="3:5">
      <c r="C47">
        <f t="shared" si="0"/>
        <v>47</v>
      </c>
      <c r="D47">
        <v>2</v>
      </c>
      <c r="E47" s="7"/>
    </row>
    <row r="48" spans="3:5">
      <c r="C48">
        <f t="shared" si="0"/>
        <v>48</v>
      </c>
      <c r="D48">
        <f t="shared" ref="D48:D96" si="1">(((96/C48)-1)*C48)</f>
        <v>48</v>
      </c>
      <c r="E48" s="7"/>
    </row>
    <row r="49" spans="3:5">
      <c r="C49">
        <f t="shared" si="0"/>
        <v>49</v>
      </c>
      <c r="D49">
        <f t="shared" si="1"/>
        <v>47</v>
      </c>
      <c r="E49" s="7"/>
    </row>
    <row r="50" spans="3:5">
      <c r="C50">
        <f t="shared" si="0"/>
        <v>50</v>
      </c>
      <c r="D50">
        <f t="shared" si="1"/>
        <v>46</v>
      </c>
      <c r="E50" s="7"/>
    </row>
    <row r="51" spans="3:5">
      <c r="C51">
        <f t="shared" si="0"/>
        <v>51</v>
      </c>
      <c r="D51">
        <f t="shared" si="1"/>
        <v>45</v>
      </c>
      <c r="E51" s="7"/>
    </row>
    <row r="52" spans="3:5">
      <c r="C52">
        <f t="shared" si="0"/>
        <v>52</v>
      </c>
      <c r="D52">
        <f t="shared" si="1"/>
        <v>44.000000000000007</v>
      </c>
      <c r="E52" s="7">
        <f t="shared" ref="E52:E88" si="2">(100/C52)/100</f>
        <v>1.9230769230769232E-2</v>
      </c>
    </row>
    <row r="53" spans="3:5">
      <c r="C53">
        <f t="shared" si="0"/>
        <v>53</v>
      </c>
      <c r="D53">
        <f t="shared" si="1"/>
        <v>43</v>
      </c>
      <c r="E53" s="7">
        <f t="shared" si="2"/>
        <v>1.8867924528301886E-2</v>
      </c>
    </row>
    <row r="54" spans="3:5">
      <c r="C54">
        <f t="shared" si="0"/>
        <v>54</v>
      </c>
      <c r="D54">
        <f t="shared" si="1"/>
        <v>41.999999999999993</v>
      </c>
      <c r="E54" s="7">
        <f t="shared" si="2"/>
        <v>1.8518518518518517E-2</v>
      </c>
    </row>
    <row r="55" spans="3:5">
      <c r="C55">
        <f t="shared" si="0"/>
        <v>55</v>
      </c>
      <c r="D55">
        <f t="shared" si="1"/>
        <v>40.999999999999993</v>
      </c>
      <c r="E55" s="7">
        <f t="shared" si="2"/>
        <v>1.8181818181818181E-2</v>
      </c>
    </row>
    <row r="56" spans="3:5">
      <c r="C56">
        <f t="shared" si="0"/>
        <v>56</v>
      </c>
      <c r="D56">
        <f t="shared" si="1"/>
        <v>39.999999999999993</v>
      </c>
      <c r="E56" s="7">
        <f t="shared" si="2"/>
        <v>1.785714285714286E-2</v>
      </c>
    </row>
    <row r="57" spans="3:5">
      <c r="C57">
        <f t="shared" si="0"/>
        <v>57</v>
      </c>
      <c r="D57">
        <f t="shared" si="1"/>
        <v>38.999999999999993</v>
      </c>
      <c r="E57" s="7"/>
    </row>
    <row r="58" spans="3:5">
      <c r="C58">
        <f t="shared" si="0"/>
        <v>58</v>
      </c>
      <c r="D58">
        <f t="shared" si="1"/>
        <v>38</v>
      </c>
      <c r="E58" s="7">
        <f t="shared" si="2"/>
        <v>1.7241379310344827E-2</v>
      </c>
    </row>
    <row r="59" spans="3:5">
      <c r="C59">
        <f t="shared" si="0"/>
        <v>59</v>
      </c>
      <c r="D59">
        <f t="shared" si="1"/>
        <v>37.000000000000007</v>
      </c>
      <c r="E59" s="7">
        <f t="shared" si="2"/>
        <v>1.6949152542372881E-2</v>
      </c>
    </row>
    <row r="60" spans="3:5">
      <c r="C60">
        <f t="shared" si="0"/>
        <v>60</v>
      </c>
      <c r="D60">
        <f t="shared" si="1"/>
        <v>36.000000000000007</v>
      </c>
      <c r="E60" s="7">
        <f t="shared" si="2"/>
        <v>1.6666666666666666E-2</v>
      </c>
    </row>
    <row r="61" spans="3:5">
      <c r="C61">
        <f t="shared" si="0"/>
        <v>61</v>
      </c>
      <c r="D61">
        <f t="shared" si="1"/>
        <v>35</v>
      </c>
      <c r="E61" s="7">
        <f t="shared" si="2"/>
        <v>1.6393442622950821E-2</v>
      </c>
    </row>
    <row r="62" spans="3:5">
      <c r="C62">
        <f t="shared" si="0"/>
        <v>62</v>
      </c>
      <c r="D62">
        <f t="shared" si="1"/>
        <v>34</v>
      </c>
      <c r="E62" s="7">
        <f t="shared" si="2"/>
        <v>1.6129032258064516E-2</v>
      </c>
    </row>
    <row r="63" spans="3:5">
      <c r="C63">
        <f t="shared" si="0"/>
        <v>63</v>
      </c>
      <c r="D63">
        <f t="shared" si="1"/>
        <v>32.999999999999993</v>
      </c>
      <c r="E63" s="7">
        <f t="shared" si="2"/>
        <v>1.5873015873015872E-2</v>
      </c>
    </row>
    <row r="64" spans="3:5">
      <c r="C64">
        <f t="shared" si="0"/>
        <v>64</v>
      </c>
      <c r="D64">
        <f t="shared" si="1"/>
        <v>32</v>
      </c>
      <c r="E64" s="7">
        <f t="shared" si="2"/>
        <v>1.5625E-2</v>
      </c>
    </row>
    <row r="65" spans="3:5">
      <c r="C65">
        <f t="shared" si="0"/>
        <v>65</v>
      </c>
      <c r="D65">
        <f t="shared" si="1"/>
        <v>31.000000000000007</v>
      </c>
      <c r="E65" s="7">
        <f t="shared" si="2"/>
        <v>1.5384615384615385E-2</v>
      </c>
    </row>
    <row r="66" spans="3:5">
      <c r="C66">
        <f t="shared" si="0"/>
        <v>66</v>
      </c>
      <c r="D66">
        <f t="shared" si="1"/>
        <v>30.000000000000004</v>
      </c>
      <c r="E66" s="7">
        <f t="shared" si="2"/>
        <v>1.5151515151515152E-2</v>
      </c>
    </row>
    <row r="67" spans="3:5">
      <c r="C67">
        <f t="shared" ref="C67:C96" si="3">C66+1</f>
        <v>67</v>
      </c>
      <c r="D67">
        <f t="shared" si="1"/>
        <v>28.999999999999993</v>
      </c>
      <c r="E67" s="7">
        <f t="shared" si="2"/>
        <v>1.492537313432836E-2</v>
      </c>
    </row>
    <row r="68" spans="3:5">
      <c r="C68">
        <f t="shared" si="3"/>
        <v>68</v>
      </c>
      <c r="D68">
        <f t="shared" si="1"/>
        <v>28.000000000000007</v>
      </c>
      <c r="E68" s="7">
        <f t="shared" si="2"/>
        <v>1.4705882352941178E-2</v>
      </c>
    </row>
    <row r="69" spans="3:5">
      <c r="C69">
        <f t="shared" si="3"/>
        <v>69</v>
      </c>
      <c r="D69">
        <f t="shared" si="1"/>
        <v>26.999999999999996</v>
      </c>
      <c r="E69" s="7">
        <f t="shared" si="2"/>
        <v>1.4492753623188406E-2</v>
      </c>
    </row>
    <row r="70" spans="3:5">
      <c r="C70">
        <f t="shared" si="3"/>
        <v>70</v>
      </c>
      <c r="D70">
        <f t="shared" si="1"/>
        <v>26</v>
      </c>
      <c r="E70" s="7"/>
    </row>
    <row r="71" spans="3:5">
      <c r="C71">
        <f t="shared" si="3"/>
        <v>71</v>
      </c>
      <c r="D71">
        <f t="shared" si="1"/>
        <v>25</v>
      </c>
      <c r="E71" s="7">
        <f t="shared" si="2"/>
        <v>1.408450704225352E-2</v>
      </c>
    </row>
    <row r="72" spans="3:5">
      <c r="C72">
        <f t="shared" si="3"/>
        <v>72</v>
      </c>
      <c r="D72">
        <f t="shared" si="1"/>
        <v>23.999999999999993</v>
      </c>
      <c r="E72" s="7">
        <f t="shared" si="2"/>
        <v>1.3888888888888888E-2</v>
      </c>
    </row>
    <row r="73" spans="3:5">
      <c r="C73">
        <f t="shared" si="3"/>
        <v>73</v>
      </c>
      <c r="D73">
        <f t="shared" si="1"/>
        <v>22.999999999999993</v>
      </c>
      <c r="E73" s="7">
        <f t="shared" si="2"/>
        <v>1.3698630136986301E-2</v>
      </c>
    </row>
    <row r="74" spans="3:5">
      <c r="C74">
        <f t="shared" si="3"/>
        <v>74</v>
      </c>
      <c r="D74">
        <f t="shared" si="1"/>
        <v>22.000000000000007</v>
      </c>
      <c r="E74" s="7">
        <f t="shared" si="2"/>
        <v>1.3513513513513513E-2</v>
      </c>
    </row>
    <row r="75" spans="3:5">
      <c r="C75">
        <f t="shared" si="3"/>
        <v>75</v>
      </c>
      <c r="D75">
        <f t="shared" si="1"/>
        <v>21.000000000000004</v>
      </c>
      <c r="E75" s="7">
        <f t="shared" si="2"/>
        <v>1.3333333333333332E-2</v>
      </c>
    </row>
    <row r="76" spans="3:5">
      <c r="C76">
        <f t="shared" si="3"/>
        <v>76</v>
      </c>
      <c r="D76">
        <f t="shared" si="1"/>
        <v>19.999999999999993</v>
      </c>
      <c r="E76" s="7">
        <f t="shared" si="2"/>
        <v>1.3157894736842106E-2</v>
      </c>
    </row>
    <row r="77" spans="3:5">
      <c r="C77">
        <f t="shared" si="3"/>
        <v>77</v>
      </c>
      <c r="D77">
        <f t="shared" si="1"/>
        <v>18.999999999999996</v>
      </c>
      <c r="E77" s="7">
        <f t="shared" si="2"/>
        <v>1.2987012987012986E-2</v>
      </c>
    </row>
    <row r="78" spans="3:5">
      <c r="C78">
        <f t="shared" si="3"/>
        <v>78</v>
      </c>
      <c r="D78">
        <f t="shared" si="1"/>
        <v>18.000000000000007</v>
      </c>
      <c r="E78" s="7">
        <f t="shared" si="2"/>
        <v>1.2820512820512822E-2</v>
      </c>
    </row>
    <row r="79" spans="3:5">
      <c r="C79">
        <f t="shared" si="3"/>
        <v>79</v>
      </c>
      <c r="D79">
        <f t="shared" si="1"/>
        <v>17.000000000000004</v>
      </c>
      <c r="E79" s="7">
        <f t="shared" si="2"/>
        <v>1.2658227848101267E-2</v>
      </c>
    </row>
    <row r="80" spans="3:5">
      <c r="C80">
        <f t="shared" si="3"/>
        <v>80</v>
      </c>
      <c r="D80">
        <f t="shared" si="1"/>
        <v>15.999999999999996</v>
      </c>
      <c r="E80" s="7"/>
    </row>
    <row r="81" spans="3:5">
      <c r="C81">
        <f t="shared" si="3"/>
        <v>81</v>
      </c>
      <c r="D81">
        <f t="shared" si="1"/>
        <v>14.999999999999995</v>
      </c>
      <c r="E81" s="7">
        <f t="shared" si="2"/>
        <v>1.2345679012345678E-2</v>
      </c>
    </row>
    <row r="82" spans="3:5">
      <c r="C82">
        <f t="shared" si="3"/>
        <v>82</v>
      </c>
      <c r="D82">
        <f t="shared" si="1"/>
        <v>13.999999999999995</v>
      </c>
      <c r="E82" s="7">
        <f t="shared" si="2"/>
        <v>1.2195121951219513E-2</v>
      </c>
    </row>
    <row r="83" spans="3:5">
      <c r="C83">
        <f t="shared" si="3"/>
        <v>83</v>
      </c>
      <c r="D83">
        <f t="shared" si="1"/>
        <v>12.999999999999996</v>
      </c>
      <c r="E83" s="7">
        <f t="shared" si="2"/>
        <v>1.2048192771084338E-2</v>
      </c>
    </row>
    <row r="84" spans="3:5">
      <c r="C84">
        <f t="shared" si="3"/>
        <v>84</v>
      </c>
      <c r="D84">
        <f t="shared" si="1"/>
        <v>11.999999999999995</v>
      </c>
      <c r="E84" s="7">
        <f t="shared" si="2"/>
        <v>1.1904761904761904E-2</v>
      </c>
    </row>
    <row r="85" spans="3:5">
      <c r="C85">
        <f t="shared" si="3"/>
        <v>85</v>
      </c>
      <c r="D85">
        <f t="shared" si="1"/>
        <v>10.999999999999998</v>
      </c>
      <c r="E85" s="7">
        <f t="shared" si="2"/>
        <v>1.1764705882352941E-2</v>
      </c>
    </row>
    <row r="86" spans="3:5">
      <c r="C86">
        <f t="shared" si="3"/>
        <v>86</v>
      </c>
      <c r="D86">
        <f t="shared" si="1"/>
        <v>9.9999999999999982</v>
      </c>
      <c r="E86" s="7">
        <f t="shared" si="2"/>
        <v>1.1627906976744186E-2</v>
      </c>
    </row>
    <row r="87" spans="3:5">
      <c r="C87">
        <f t="shared" si="3"/>
        <v>87</v>
      </c>
      <c r="D87">
        <f t="shared" si="1"/>
        <v>8.9999999999999982</v>
      </c>
      <c r="E87" s="7">
        <f t="shared" si="2"/>
        <v>1.1494252873563218E-2</v>
      </c>
    </row>
    <row r="88" spans="3:5">
      <c r="C88">
        <f t="shared" si="3"/>
        <v>88</v>
      </c>
      <c r="D88">
        <f t="shared" si="1"/>
        <v>7.9999999999999929</v>
      </c>
      <c r="E88" s="7">
        <f t="shared" si="2"/>
        <v>1.1363636363636364E-2</v>
      </c>
    </row>
    <row r="89" spans="3:5">
      <c r="C89">
        <f t="shared" si="3"/>
        <v>89</v>
      </c>
      <c r="D89">
        <f t="shared" si="1"/>
        <v>6.9999999999999973</v>
      </c>
      <c r="E89" s="7">
        <f t="shared" ref="E89:E96" si="4">(100/C89)/100</f>
        <v>1.1235955056179777E-2</v>
      </c>
    </row>
    <row r="90" spans="3:5">
      <c r="C90">
        <f t="shared" si="3"/>
        <v>90</v>
      </c>
      <c r="D90">
        <f t="shared" si="1"/>
        <v>5.9999999999999982</v>
      </c>
      <c r="E90" s="7"/>
    </row>
    <row r="91" spans="3:5">
      <c r="C91">
        <f t="shared" si="3"/>
        <v>91</v>
      </c>
      <c r="D91">
        <f t="shared" si="1"/>
        <v>5.0000000000000027</v>
      </c>
      <c r="E91" s="7">
        <f t="shared" si="4"/>
        <v>1.098901098901099E-2</v>
      </c>
    </row>
    <row r="92" spans="3:5">
      <c r="C92">
        <f t="shared" si="3"/>
        <v>92</v>
      </c>
      <c r="D92">
        <f t="shared" si="1"/>
        <v>3.9999999999999973</v>
      </c>
      <c r="E92" s="7">
        <f t="shared" si="4"/>
        <v>1.0869565217391304E-2</v>
      </c>
    </row>
    <row r="93" spans="3:5">
      <c r="C93">
        <f t="shared" si="3"/>
        <v>93</v>
      </c>
      <c r="D93">
        <f t="shared" si="1"/>
        <v>2.9999999999999973</v>
      </c>
      <c r="E93" s="7">
        <f t="shared" si="4"/>
        <v>1.075268817204301E-2</v>
      </c>
    </row>
    <row r="94" spans="3:5">
      <c r="C94">
        <f t="shared" si="3"/>
        <v>94</v>
      </c>
      <c r="D94">
        <f t="shared" si="1"/>
        <v>1.9999999999999925</v>
      </c>
      <c r="E94" s="7">
        <f t="shared" si="4"/>
        <v>1.0638297872340425E-2</v>
      </c>
    </row>
    <row r="95" spans="3:5">
      <c r="C95">
        <f t="shared" si="3"/>
        <v>95</v>
      </c>
      <c r="D95">
        <f t="shared" si="1"/>
        <v>1.0000000000000031</v>
      </c>
      <c r="E95" s="7">
        <f t="shared" si="4"/>
        <v>1.0526315789473684E-2</v>
      </c>
    </row>
    <row r="96" spans="3:5">
      <c r="C96">
        <f t="shared" si="3"/>
        <v>96</v>
      </c>
      <c r="D96">
        <f t="shared" si="1"/>
        <v>0</v>
      </c>
      <c r="E96" s="7">
        <f t="shared" si="4"/>
        <v>1.0416666666666668E-2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Sample Loading Table</vt:lpstr>
      <vt:lpstr>Plate Configuration</vt:lpstr>
      <vt:lpstr>ReferenceTable</vt:lpstr>
      <vt:lpstr>'Sample Loading Table'!Print_Area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Briseno, John</cp:lastModifiedBy>
  <cp:lastPrinted>2026-01-18T15:39:37Z</cp:lastPrinted>
  <dcterms:created xsi:type="dcterms:W3CDTF">2018-08-04T04:20:23Z</dcterms:created>
  <dcterms:modified xsi:type="dcterms:W3CDTF">2026-04-24T17:17:42Z</dcterms:modified>
</cp:coreProperties>
</file>